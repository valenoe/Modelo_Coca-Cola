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los Acevedo" sheetId="1" state="visible" r:id="rId1"/>
    <sheet name="Samuel Inostroza" sheetId="2" state="visible" r:id="rId2"/>
    <sheet name="Cristian Lizama" sheetId="3" state="visible" r:id="rId3"/>
    <sheet name="Pablo Villarroel" sheetId="4" state="visible" r:id="rId4"/>
    <sheet name="Mauricio Pica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FF0000"/>
      <sz val="10"/>
    </font>
    <font>
      <name val="Arial"/>
      <b val="1"/>
      <color rgb="00FFFFFF"/>
      <sz val="10"/>
    </font>
    <font>
      <name val="Arial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Carlos Acevedo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1446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Faustino Gonzalez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Los Conquistadores</t>
        </is>
      </c>
      <c r="D6" s="4" t="n">
        <v>50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Universidad de Talca</t>
        </is>
      </c>
      <c r="D7" s="4" t="n">
        <v>55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Avenida Lircay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Nueva Holanda</t>
        </is>
      </c>
      <c r="D9" s="4" t="n">
        <v>60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Mall Plaza Talca</t>
        </is>
      </c>
      <c r="D12" s="4" t="n">
        <v>60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Cooperativa Lircay</t>
        </is>
      </c>
      <c r="D13" s="4" t="n">
        <v>60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 Miguel del Piduco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Las Colines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Villa Francia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Talca Centro</t>
        </is>
      </c>
      <c r="D19" s="4" t="n">
        <v>65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Centro Oriente</t>
        </is>
      </c>
      <c r="D20" s="4" t="n">
        <v>65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Abate Molina</t>
        </is>
      </c>
      <c r="D21" s="4" t="n">
        <v>65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Abate Molina Sur</t>
        </is>
      </c>
      <c r="D22" s="4" t="n">
        <v>65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Barrio Norte</t>
        </is>
      </c>
      <c r="D23" s="4" t="n">
        <v>65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Santa Ana Crea</t>
        </is>
      </c>
      <c r="D26" s="4" t="n">
        <v>65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Supermercados Talca</t>
        </is>
      </c>
      <c r="D27" s="4" t="n">
        <v>65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San Clemente</t>
        </is>
      </c>
      <c r="D28" s="4" t="n">
        <v>85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Chile Nuevo</t>
        </is>
      </c>
      <c r="D29" s="4" t="n">
        <v>85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Cancha Carreras</t>
        </is>
      </c>
      <c r="D30" s="4" t="n">
        <v>89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Orilla de Maule</t>
        </is>
      </c>
      <c r="D33" s="4" t="n">
        <v>130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Luis Cruz Martinez</t>
        </is>
      </c>
      <c r="D34" s="4" t="n">
        <v>165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Samuel Inostroza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2209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Centro Plaza</t>
        </is>
      </c>
      <c r="D5" s="4" t="n">
        <v>47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Centro Norte</t>
        </is>
      </c>
      <c r="D6" s="4" t="n">
        <v>47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Feria - Mall - Terminal</t>
        </is>
      </c>
      <c r="D7" s="4" t="n">
        <v>47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El Boldo</t>
        </is>
      </c>
      <c r="D8" s="4" t="n">
        <v>59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Aguas Negras</t>
        </is>
      </c>
      <c r="D9" s="4" t="n">
        <v>59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Guaiquillo - Aguas Negras</t>
        </is>
      </c>
      <c r="D12" s="4" t="n">
        <v>63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Hospital - Alameda - Mataquito</t>
        </is>
      </c>
      <c r="D13" s="4" t="n">
        <v>68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Santa Fe</t>
        </is>
      </c>
      <c r="D14" s="4" t="n">
        <v>69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Santa Lucia - Santos Mart├¡nez</t>
        </is>
      </c>
      <c r="D15" s="4" t="n">
        <v>69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Sarmiento - Rauquen</t>
        </is>
      </c>
      <c r="D16" s="4" t="n">
        <v>78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Teno - Arboleda</t>
        </is>
      </c>
      <c r="D19" s="4" t="n">
        <v>94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Lontue - Sagrada Familia</t>
        </is>
      </c>
      <c r="D20" s="4" t="n">
        <v>98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Sol de Septiembre - Manuel Rodr├¡guez</t>
        </is>
      </c>
      <c r="D21" s="4" t="n">
        <v>98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Bombero Garrido - Tutuquen</t>
        </is>
      </c>
      <c r="D22" s="4" t="n">
        <v>98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Itahue Molina Estaci├│n</t>
        </is>
      </c>
      <c r="D23" s="4" t="n">
        <v>102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Carretera Rauquen - Avda. Espa├▒a</t>
        </is>
      </c>
      <c r="D26" s="4" t="n">
        <v>108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Lontue - Pichingal - Casa Blanca</t>
        </is>
      </c>
      <c r="D27" s="4" t="n">
        <v>108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Villa Prat - Sagrada Familia</t>
        </is>
      </c>
      <c r="D28" s="4" t="n">
        <v>148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La Monta├▒a - Teno - Viluco</t>
        </is>
      </c>
      <c r="D29" s="4" t="n">
        <v>149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Licant├®n</t>
        </is>
      </c>
      <c r="D30" s="4" t="n">
        <v>249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Iloca - Duao - Lipimavida</t>
        </is>
      </c>
      <c r="D33" s="4" t="n">
        <v>284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Curepto</t>
        </is>
      </c>
      <c r="D34" s="4" t="n">
        <v>287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Cristian Lizama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1990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SAN FDO. - CENTRO</t>
        </is>
      </c>
      <c r="D5" s="4" t="n">
        <v>25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SAN FDO. CENTRO 2</t>
        </is>
      </c>
      <c r="D6" s="4" t="n">
        <v>25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SAN FDO. - MANSO DE VELASCO</t>
        </is>
      </c>
      <c r="D7" s="4" t="n">
        <v>25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SAN FDO. TERMINAL</t>
        </is>
      </c>
      <c r="D8" s="4" t="n">
        <v>25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SAN FDO. - INDEPENDENCIA</t>
        </is>
      </c>
      <c r="D9" s="4" t="n">
        <v>33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SAN FDO. - NOR PONIENTE</t>
        </is>
      </c>
      <c r="D12" s="4" t="n">
        <v>33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SAN FDO. - ORIENTE</t>
        </is>
      </c>
      <c r="D13" s="4" t="n">
        <v>34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SAN FDO. - CENTINELA</t>
        </is>
      </c>
      <c r="D14" s="4" t="n">
        <v>35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VILLA ALEGRE - LA TUNA</t>
        </is>
      </c>
      <c r="D15" s="4" t="n">
        <v>62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CHIMBARONGO  CENTRO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CHIMBARONGO CENTRO PTE.</t>
        </is>
      </c>
      <c r="D19" s="4" t="n">
        <v>65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PLACILLA</t>
        </is>
      </c>
      <c r="D20" s="4" t="n">
        <v>67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NANCAGUA -CENTRO</t>
        </is>
      </c>
      <c r="D21" s="4" t="n">
        <v>75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NANCAGUA - SAN GREGORIO</t>
        </is>
      </c>
      <c r="D22" s="4" t="n">
        <v>75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ROMERAL - SAN JUAN - TINGURIRICA</t>
        </is>
      </c>
      <c r="D23" s="4" t="n">
        <v>92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APALTA - PANIAHUE</t>
        </is>
      </c>
      <c r="D26" s="4" t="n">
        <v>112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PERALILLO</t>
        </is>
      </c>
      <c r="D27" s="4" t="n">
        <v>150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LOLOL - LA LAJUELA</t>
        </is>
      </c>
      <c r="D28" s="4" t="n">
        <v>188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MARCGIHUE</t>
        </is>
      </c>
      <c r="D29" s="4" t="n">
        <v>190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PAREDONES - LOLOL</t>
        </is>
      </c>
      <c r="D30" s="4" t="n">
        <v>244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PICHILEMU - CENTRO</t>
        </is>
      </c>
      <c r="D33" s="4" t="n">
        <v>282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PICHILEMU - ORIENTE</t>
        </is>
      </c>
      <c r="D34" s="4" t="n">
        <v>286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Pablo Villarroel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1400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Av. Lircay</t>
        </is>
      </c>
      <c r="D5" s="4" t="n">
        <v>50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La Americas</t>
        </is>
      </c>
      <c r="D6" s="4" t="n">
        <v>50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Terminal</t>
        </is>
      </c>
      <c r="D7" s="4" t="n">
        <v>52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Padre Hurtado</t>
        </is>
      </c>
      <c r="D8" s="4" t="n">
        <v>55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Don Gonzalo</t>
        </is>
      </c>
      <c r="D9" s="4" t="n">
        <v>55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Villa la Paz</t>
        </is>
      </c>
      <c r="D12" s="4" t="n">
        <v>55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Cancha Rayada</t>
        </is>
      </c>
      <c r="D13" s="4" t="n">
        <v>55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Don Sebastian</t>
        </is>
      </c>
      <c r="D14" s="4" t="n">
        <v>60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Don Arturo</t>
        </is>
      </c>
      <c r="D15" s="4" t="n">
        <v>60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Aurora de Chile</t>
        </is>
      </c>
      <c r="D16" s="4" t="n">
        <v>60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Villa Per├║</t>
        </is>
      </c>
      <c r="D19" s="4" t="n">
        <v>60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Brilla el Sol</t>
        </is>
      </c>
      <c r="D20" s="4" t="n">
        <v>62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Daniel Rebolledo</t>
        </is>
      </c>
      <c r="D21" s="4" t="n">
        <v>62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Santa Marta</t>
        </is>
      </c>
      <c r="D22" s="4" t="n">
        <v>62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Manso de Velasco</t>
        </is>
      </c>
      <c r="D23" s="4" t="n">
        <v>62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Centro Talca</t>
        </is>
      </c>
      <c r="D26" s="4" t="n">
        <v>65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Oriente Talca</t>
        </is>
      </c>
      <c r="D27" s="4" t="n">
        <v>65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La Florida</t>
        </is>
      </c>
      <c r="D28" s="4" t="n">
        <v>70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Galilea</t>
        </is>
      </c>
      <c r="D29" s="4" t="n">
        <v>70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Linares: Villa Alegre</t>
        </is>
      </c>
      <c r="D30" s="4" t="n">
        <v>130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Linares: Villa Alegre Centro</t>
        </is>
      </c>
      <c r="D33" s="4" t="n">
        <v>130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Linares: Centro Brasil</t>
        </is>
      </c>
      <c r="D34" s="4" t="n">
        <v>150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42" customWidth="1" min="3" max="3"/>
    <col width="8" customWidth="1" min="4" max="4"/>
    <col width="16" customWidth="1" min="5" max="5"/>
  </cols>
  <sheetData>
    <row r="1" ht="22" customHeight="1">
      <c r="A1" s="1" t="inlineStr">
        <is>
          <t>Planificacion mensual - Mauricio Picart</t>
        </is>
      </c>
    </row>
    <row r="2" ht="18" customHeight="1">
      <c r="A2" s="2" t="inlineStr">
        <is>
          <t>Periodo</t>
        </is>
      </c>
      <c r="B2" s="3" t="inlineStr">
        <is>
          <t>Junio</t>
        </is>
      </c>
      <c r="C2" s="2" t="inlineStr">
        <is>
          <t>Tope mensual km</t>
        </is>
      </c>
      <c r="D2" s="4" t="n">
        <v>1465</v>
      </c>
      <c r="E2" s="3" t="inlineStr"/>
    </row>
    <row r="3" ht="18" customHeight="1">
      <c r="A3" s="2" t="inlineStr">
        <is>
          <t>Km planificados</t>
        </is>
      </c>
      <c r="B3" s="4">
        <f>SUM(D5:D34)</f>
        <v/>
      </c>
      <c r="C3" s="2" t="inlineStr">
        <is>
          <t>Km disponibles</t>
        </is>
      </c>
      <c r="D3" s="5">
        <f>D2-B3</f>
        <v/>
      </c>
      <c r="E3" s="3" t="inlineStr"/>
    </row>
    <row r="4" ht="18" customHeight="1">
      <c r="A4" s="6" t="inlineStr">
        <is>
          <t>Dia</t>
        </is>
      </c>
      <c r="B4" s="6" t="inlineStr">
        <is>
          <t>Fecha</t>
        </is>
      </c>
      <c r="C4" s="6" t="inlineStr">
        <is>
          <t>Ruta</t>
        </is>
      </c>
      <c r="D4" s="6" t="inlineStr">
        <is>
          <t>KLM</t>
        </is>
      </c>
      <c r="E4" s="6" t="inlineStr">
        <is>
          <t>Clientes (Minimos)</t>
        </is>
      </c>
    </row>
    <row r="5" ht="16" customHeight="1">
      <c r="A5" s="3" t="inlineStr">
        <is>
          <t>Lunes</t>
        </is>
      </c>
      <c r="B5" s="3" t="inlineStr">
        <is>
          <t>01-06-2026</t>
        </is>
      </c>
      <c r="C5" s="7" t="inlineStr">
        <is>
          <t>B. Oriente - Hospital</t>
        </is>
      </c>
      <c r="D5" s="4" t="n">
        <v>58</v>
      </c>
      <c r="E5" s="3" t="n">
        <v>15</v>
      </c>
    </row>
    <row r="6" ht="16" customHeight="1">
      <c r="A6" s="3" t="inlineStr">
        <is>
          <t>Martes</t>
        </is>
      </c>
      <c r="B6" s="3" t="inlineStr">
        <is>
          <t>02-06-2026</t>
        </is>
      </c>
      <c r="C6" s="7" t="inlineStr">
        <is>
          <t>Parque Industrial</t>
        </is>
      </c>
      <c r="D6" s="4" t="n">
        <v>58</v>
      </c>
      <c r="E6" s="3" t="n">
        <v>15</v>
      </c>
    </row>
    <row r="7" ht="16" customHeight="1">
      <c r="A7" s="3" t="inlineStr">
        <is>
          <t>Miercoles</t>
        </is>
      </c>
      <c r="B7" s="3" t="inlineStr">
        <is>
          <t>03-06-2026</t>
        </is>
      </c>
      <c r="C7" s="7" t="inlineStr">
        <is>
          <t>Alameda Sur</t>
        </is>
      </c>
      <c r="D7" s="4" t="n">
        <v>60</v>
      </c>
      <c r="E7" s="3" t="n">
        <v>15</v>
      </c>
    </row>
    <row r="8" ht="16" customHeight="1">
      <c r="A8" s="3" t="inlineStr">
        <is>
          <t>Jueves</t>
        </is>
      </c>
      <c r="B8" s="3" t="inlineStr">
        <is>
          <t>04-06-2026</t>
        </is>
      </c>
      <c r="C8" s="7" t="inlineStr">
        <is>
          <t>Centro Norte</t>
        </is>
      </c>
      <c r="D8" s="4" t="n">
        <v>60</v>
      </c>
      <c r="E8" s="3" t="n">
        <v>15</v>
      </c>
    </row>
    <row r="9" ht="16" customHeight="1">
      <c r="A9" s="3" t="inlineStr">
        <is>
          <t>Viernes</t>
        </is>
      </c>
      <c r="B9" s="3" t="inlineStr">
        <is>
          <t>05-06-2026</t>
        </is>
      </c>
      <c r="C9" s="7" t="inlineStr">
        <is>
          <t>Galilea - Do├▒a Ignacia</t>
        </is>
      </c>
      <c r="D9" s="4" t="n">
        <v>65</v>
      </c>
      <c r="E9" s="3" t="n">
        <v>15</v>
      </c>
    </row>
    <row r="10" ht="16" customHeight="1">
      <c r="A10" s="8" t="inlineStr">
        <is>
          <t>Sabado</t>
        </is>
      </c>
      <c r="B10" s="8" t="inlineStr">
        <is>
          <t>06-06-2026</t>
        </is>
      </c>
      <c r="C10" s="9" t="inlineStr"/>
      <c r="D10" s="10" t="inlineStr"/>
      <c r="E10" s="8" t="inlineStr"/>
    </row>
    <row r="11" ht="16" customHeight="1">
      <c r="A11" s="8" t="inlineStr">
        <is>
          <t>Domingo</t>
        </is>
      </c>
      <c r="B11" s="8" t="inlineStr">
        <is>
          <t>07-06-2026</t>
        </is>
      </c>
      <c r="C11" s="9" t="inlineStr"/>
      <c r="D11" s="10" t="inlineStr"/>
      <c r="E11" s="8" t="inlineStr"/>
    </row>
    <row r="12" ht="16" customHeight="1">
      <c r="A12" s="3" t="inlineStr">
        <is>
          <t>Lunes</t>
        </is>
      </c>
      <c r="B12" s="3" t="inlineStr">
        <is>
          <t>08-06-2026</t>
        </is>
      </c>
      <c r="C12" s="7" t="inlineStr">
        <is>
          <t>Do├▒a Ignacia - Villa Ecuador</t>
        </is>
      </c>
      <c r="D12" s="4" t="n">
        <v>65</v>
      </c>
      <c r="E12" s="3" t="n">
        <v>15</v>
      </c>
    </row>
    <row r="13" ht="16" customHeight="1">
      <c r="A13" s="3" t="inlineStr">
        <is>
          <t>Martes</t>
        </is>
      </c>
      <c r="B13" s="3" t="inlineStr">
        <is>
          <t>09-06-2026</t>
        </is>
      </c>
      <c r="C13" s="7" t="inlineStr">
        <is>
          <t>San Luis</t>
        </is>
      </c>
      <c r="D13" s="4" t="n">
        <v>65</v>
      </c>
      <c r="E13" s="3" t="n">
        <v>15</v>
      </c>
    </row>
    <row r="14" ht="16" customHeight="1">
      <c r="A14" s="3" t="inlineStr">
        <is>
          <t>Miercoles</t>
        </is>
      </c>
      <c r="B14" s="3" t="inlineStr">
        <is>
          <t>10-06-2026</t>
        </is>
      </c>
      <c r="C14" s="7" t="inlineStr">
        <is>
          <t>J. Flor del Este</t>
        </is>
      </c>
      <c r="D14" s="4" t="n">
        <v>65</v>
      </c>
      <c r="E14" s="3" t="n">
        <v>15</v>
      </c>
    </row>
    <row r="15" ht="16" customHeight="1">
      <c r="A15" s="3" t="inlineStr">
        <is>
          <t>Jueves</t>
        </is>
      </c>
      <c r="B15" s="3" t="inlineStr">
        <is>
          <t>11-06-2026</t>
        </is>
      </c>
      <c r="C15" s="7" t="inlineStr">
        <is>
          <t>Carlos Trupp</t>
        </is>
      </c>
      <c r="D15" s="4" t="n">
        <v>65</v>
      </c>
      <c r="E15" s="3" t="n">
        <v>15</v>
      </c>
    </row>
    <row r="16" ht="16" customHeight="1">
      <c r="A16" s="3" t="inlineStr">
        <is>
          <t>Viernes</t>
        </is>
      </c>
      <c r="B16" s="3" t="inlineStr">
        <is>
          <t>12-06-2026</t>
        </is>
      </c>
      <c r="C16" s="7" t="inlineStr">
        <is>
          <t>Do├▒a Consuelo</t>
        </is>
      </c>
      <c r="D16" s="4" t="n">
        <v>65</v>
      </c>
      <c r="E16" s="3" t="n">
        <v>15</v>
      </c>
    </row>
    <row r="17" ht="16" customHeight="1">
      <c r="A17" s="8" t="inlineStr">
        <is>
          <t>Sabado</t>
        </is>
      </c>
      <c r="B17" s="8" t="inlineStr">
        <is>
          <t>13-06-2026</t>
        </is>
      </c>
      <c r="C17" s="9" t="inlineStr"/>
      <c r="D17" s="10" t="inlineStr"/>
      <c r="E17" s="8" t="inlineStr"/>
    </row>
    <row r="18" ht="16" customHeight="1">
      <c r="A18" s="8" t="inlineStr">
        <is>
          <t>Domingo</t>
        </is>
      </c>
      <c r="B18" s="8" t="inlineStr">
        <is>
          <t>14-06-2026</t>
        </is>
      </c>
      <c r="C18" s="9" t="inlineStr"/>
      <c r="D18" s="10" t="inlineStr"/>
      <c r="E18" s="8" t="inlineStr"/>
    </row>
    <row r="19" ht="16" customHeight="1">
      <c r="A19" s="3" t="inlineStr">
        <is>
          <t>Lunes</t>
        </is>
      </c>
      <c r="B19" s="3" t="inlineStr">
        <is>
          <t>15-06-2026</t>
        </is>
      </c>
      <c r="C19" s="7" t="inlineStr">
        <is>
          <t>Jardin del Valle</t>
        </is>
      </c>
      <c r="D19" s="4" t="n">
        <v>70</v>
      </c>
      <c r="E19" s="3" t="n">
        <v>15</v>
      </c>
    </row>
    <row r="20" ht="16" customHeight="1">
      <c r="A20" s="3" t="inlineStr">
        <is>
          <t>Martes</t>
        </is>
      </c>
      <c r="B20" s="3" t="inlineStr">
        <is>
          <t>16-06-2026</t>
        </is>
      </c>
      <c r="C20" s="7" t="inlineStr">
        <is>
          <t>Magisterio</t>
        </is>
      </c>
      <c r="D20" s="4" t="n">
        <v>70</v>
      </c>
      <c r="E20" s="3" t="n">
        <v>15</v>
      </c>
    </row>
    <row r="21" ht="16" customHeight="1">
      <c r="A21" s="3" t="inlineStr">
        <is>
          <t>Miercoles</t>
        </is>
      </c>
      <c r="B21" s="3" t="inlineStr">
        <is>
          <t>17-06-2026</t>
        </is>
      </c>
      <c r="C21" s="7" t="inlineStr">
        <is>
          <t>Centro Poniente</t>
        </is>
      </c>
      <c r="D21" s="4" t="n">
        <v>70</v>
      </c>
      <c r="E21" s="3" t="n">
        <v>15</v>
      </c>
    </row>
    <row r="22" ht="16" customHeight="1">
      <c r="A22" s="3" t="inlineStr">
        <is>
          <t>Jueves</t>
        </is>
      </c>
      <c r="B22" s="3" t="inlineStr">
        <is>
          <t>18-06-2026</t>
        </is>
      </c>
      <c r="C22" s="7" t="inlineStr">
        <is>
          <t>Santa Teresita Colin</t>
        </is>
      </c>
      <c r="D22" s="4" t="n">
        <v>75</v>
      </c>
      <c r="E22" s="3" t="n">
        <v>15</v>
      </c>
    </row>
    <row r="23" ht="16" customHeight="1">
      <c r="A23" s="3" t="inlineStr">
        <is>
          <t>Viernes</t>
        </is>
      </c>
      <c r="B23" s="3" t="inlineStr">
        <is>
          <t>19-06-2026</t>
        </is>
      </c>
      <c r="C23" s="7" t="inlineStr">
        <is>
          <t>Culenar</t>
        </is>
      </c>
      <c r="D23" s="4" t="n">
        <v>75</v>
      </c>
      <c r="E23" s="3" t="n">
        <v>15</v>
      </c>
    </row>
    <row r="24" ht="16" customHeight="1">
      <c r="A24" s="8" t="inlineStr">
        <is>
          <t>Sabado</t>
        </is>
      </c>
      <c r="B24" s="8" t="inlineStr">
        <is>
          <t>20-06-2026</t>
        </is>
      </c>
      <c r="C24" s="9" t="inlineStr"/>
      <c r="D24" s="10" t="inlineStr"/>
      <c r="E24" s="8" t="inlineStr"/>
    </row>
    <row r="25" ht="16" customHeight="1">
      <c r="A25" s="8" t="inlineStr">
        <is>
          <t>Domingo</t>
        </is>
      </c>
      <c r="B25" s="8" t="inlineStr">
        <is>
          <t>21-06-2026</t>
        </is>
      </c>
      <c r="C25" s="9" t="inlineStr"/>
      <c r="D25" s="10" t="inlineStr"/>
      <c r="E25" s="8" t="inlineStr"/>
    </row>
    <row r="26" ht="16" customHeight="1">
      <c r="A26" s="3" t="inlineStr">
        <is>
          <t>Lunes</t>
        </is>
      </c>
      <c r="B26" s="3" t="inlineStr">
        <is>
          <t>22-06-2026</t>
        </is>
      </c>
      <c r="C26" s="7" t="inlineStr">
        <is>
          <t>Las Rastras</t>
        </is>
      </c>
      <c r="D26" s="4" t="n">
        <v>80</v>
      </c>
      <c r="E26" s="3" t="n">
        <v>15</v>
      </c>
    </row>
    <row r="27" ht="16" customHeight="1">
      <c r="A27" s="3" t="inlineStr">
        <is>
          <t>Martes</t>
        </is>
      </c>
      <c r="B27" s="3" t="inlineStr">
        <is>
          <t>23-06-2026</t>
        </is>
      </c>
      <c r="C27" s="7" t="inlineStr">
        <is>
          <t>Camino San Clemente</t>
        </is>
      </c>
      <c r="D27" s="4" t="n">
        <v>80</v>
      </c>
      <c r="E27" s="3" t="n">
        <v>15</v>
      </c>
    </row>
    <row r="28" ht="16" customHeight="1">
      <c r="A28" s="3" t="inlineStr">
        <is>
          <t>Miercoles</t>
        </is>
      </c>
      <c r="B28" s="3" t="inlineStr">
        <is>
          <t>24-06-2026</t>
        </is>
      </c>
      <c r="C28" s="7" t="inlineStr">
        <is>
          <t>San Javier - La Palma</t>
        </is>
      </c>
      <c r="D28" s="4" t="n">
        <v>90</v>
      </c>
      <c r="E28" s="3" t="n">
        <v>15</v>
      </c>
    </row>
    <row r="29" ht="16" customHeight="1">
      <c r="A29" s="3" t="inlineStr">
        <is>
          <t>Jueves</t>
        </is>
      </c>
      <c r="B29" s="3" t="inlineStr">
        <is>
          <t>25-06-2026</t>
        </is>
      </c>
      <c r="C29" s="7" t="inlineStr">
        <is>
          <t>San Javier Centro</t>
        </is>
      </c>
      <c r="D29" s="4" t="n">
        <v>90</v>
      </c>
      <c r="E29" s="3" t="n">
        <v>15</v>
      </c>
    </row>
    <row r="30" ht="16" customHeight="1">
      <c r="A30" s="3" t="inlineStr">
        <is>
          <t>Viernes</t>
        </is>
      </c>
      <c r="B30" s="3" t="inlineStr">
        <is>
          <t>26-06-2026</t>
        </is>
      </c>
      <c r="C30" s="7" t="inlineStr">
        <is>
          <t>Maule</t>
        </is>
      </c>
      <c r="D30" s="4" t="n">
        <v>95</v>
      </c>
      <c r="E30" s="3" t="n">
        <v>15</v>
      </c>
    </row>
    <row r="31" ht="16" customHeight="1">
      <c r="A31" s="8" t="inlineStr">
        <is>
          <t>Sabado</t>
        </is>
      </c>
      <c r="B31" s="8" t="inlineStr">
        <is>
          <t>27-06-2026</t>
        </is>
      </c>
      <c r="C31" s="9" t="inlineStr"/>
      <c r="D31" s="10" t="inlineStr"/>
      <c r="E31" s="8" t="inlineStr"/>
    </row>
    <row r="32" ht="16" customHeight="1">
      <c r="A32" s="8" t="inlineStr">
        <is>
          <t>Domingo</t>
        </is>
      </c>
      <c r="B32" s="8" t="inlineStr">
        <is>
          <t>28-06-2026</t>
        </is>
      </c>
      <c r="C32" s="9" t="inlineStr"/>
      <c r="D32" s="10" t="inlineStr"/>
      <c r="E32" s="8" t="inlineStr"/>
    </row>
    <row r="33" ht="16" customHeight="1">
      <c r="A33" s="3" t="inlineStr">
        <is>
          <t>Lunes</t>
        </is>
      </c>
      <c r="B33" s="3" t="inlineStr">
        <is>
          <t>29-06-2026</t>
        </is>
      </c>
      <c r="C33" s="7" t="inlineStr">
        <is>
          <t>Orilla de Maule</t>
        </is>
      </c>
      <c r="D33" s="4" t="n">
        <v>95</v>
      </c>
      <c r="E33" s="3" t="n">
        <v>15</v>
      </c>
    </row>
    <row r="34" ht="16" customHeight="1">
      <c r="A34" s="3" t="inlineStr">
        <is>
          <t>Martes</t>
        </is>
      </c>
      <c r="B34" s="3" t="inlineStr">
        <is>
          <t>30-06-2026</t>
        </is>
      </c>
      <c r="C34" s="7" t="inlineStr">
        <is>
          <t>Estaci├│n - San Javier</t>
        </is>
      </c>
      <c r="D34" s="4" t="n">
        <v>95</v>
      </c>
      <c r="E34" s="3" t="n">
        <v>15</v>
      </c>
    </row>
    <row r="35" ht="18" customHeight="1">
      <c r="A35" s="11" t="inlineStr">
        <is>
          <t>Total mensual</t>
        </is>
      </c>
      <c r="B35" s="12" t="inlineStr"/>
      <c r="C35" s="12" t="inlineStr"/>
      <c r="D35" s="13">
        <f>SUM(D5:D34)</f>
        <v/>
      </c>
      <c r="E35" s="13">
        <f>SUM(E5:E34)</f>
        <v/>
      </c>
    </row>
    <row r="36" ht="18" customHeight="1">
      <c r="A36" s="14" t="inlineStr">
        <is>
          <t>Km disponibles</t>
        </is>
      </c>
      <c r="B36" s="15" t="inlineStr"/>
      <c r="C36" s="15" t="inlineStr"/>
      <c r="D36" s="16">
        <f>D2-D35</f>
        <v/>
      </c>
      <c r="E36" s="1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2026-05-29T16:58:56Z</dcterms:created>
  <dcterms:modified xsi:type="dcterms:W3CDTF">2026-05-29T16:58:56Z</dcterms:modified>
</cp:coreProperties>
</file>