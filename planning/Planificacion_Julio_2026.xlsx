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10df13283149440/Equipo_transformacion_digital_2/2.- El Roble - Coca Cola/Planificación Logistica/"/>
    </mc:Choice>
  </mc:AlternateContent>
  <xr:revisionPtr revIDLastSave="27" documentId="11_B880F4191C45B8D3F24C1783C25BDA87B6894BAD" xr6:coauthVersionLast="47" xr6:coauthVersionMax="47" xr10:uidLastSave="{CF510F98-25AE-4DDD-8235-10FFE87F4408}"/>
  <bookViews>
    <workbookView xWindow="-96" yWindow="0" windowWidth="11712" windowHeight="12336" firstSheet="1" activeTab="1" xr2:uid="{00000000-000D-0000-FFFF-FFFF00000000}"/>
  </bookViews>
  <sheets>
    <sheet name="Carlos Acevedo" sheetId="1" r:id="rId1"/>
    <sheet name="Samuel Inostroza" sheetId="2" r:id="rId2"/>
    <sheet name="Cristian Lizama" sheetId="3" r:id="rId3"/>
    <sheet name="Pablo Villarroel" sheetId="4" r:id="rId4"/>
    <sheet name="Mauricio Picar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4" l="1"/>
  <c r="E36" i="5"/>
  <c r="D36" i="5"/>
  <c r="B3" i="5"/>
  <c r="E36" i="4"/>
  <c r="B3" i="4"/>
  <c r="E36" i="3"/>
  <c r="D36" i="3"/>
  <c r="B3" i="3"/>
  <c r="E36" i="2"/>
  <c r="D36" i="2"/>
  <c r="B3" i="2"/>
  <c r="E36" i="1"/>
  <c r="D36" i="1"/>
  <c r="B3" i="1"/>
  <c r="D37" i="5" l="1"/>
  <c r="D37" i="2"/>
  <c r="D3" i="1"/>
  <c r="D3" i="4"/>
  <c r="D37" i="3"/>
  <c r="D3" i="3"/>
  <c r="D3" i="5"/>
  <c r="D3" i="2"/>
  <c r="D37" i="4"/>
  <c r="D37" i="1"/>
</calcChain>
</file>

<file path=xl/sharedStrings.xml><?xml version="1.0" encoding="utf-8"?>
<sst xmlns="http://schemas.openxmlformats.org/spreadsheetml/2006/main" count="490" uniqueCount="160">
  <si>
    <t>Planificacion mensual - Carlos Acevedo</t>
  </si>
  <si>
    <t>Periodo</t>
  </si>
  <si>
    <t>Julio</t>
  </si>
  <si>
    <t>Tope mensual km</t>
  </si>
  <si>
    <t>Km planificados</t>
  </si>
  <si>
    <t>Km disponibles</t>
  </si>
  <si>
    <t>Dia</t>
  </si>
  <si>
    <t>Fecha</t>
  </si>
  <si>
    <t>Ruta</t>
  </si>
  <si>
    <t>KLM</t>
  </si>
  <si>
    <t>Clientes (Minimos)</t>
  </si>
  <si>
    <t>Miercoles</t>
  </si>
  <si>
    <t>01-07-2026</t>
  </si>
  <si>
    <t>Faustino Gonzalez</t>
  </si>
  <si>
    <t>Jueves</t>
  </si>
  <si>
    <t>02-07-2026</t>
  </si>
  <si>
    <t>Los Conquistadores</t>
  </si>
  <si>
    <t>Viernes</t>
  </si>
  <si>
    <t>03-07-2026</t>
  </si>
  <si>
    <t>Avenida Lircay</t>
  </si>
  <si>
    <t>Sabado</t>
  </si>
  <si>
    <t>04-07-2026</t>
  </si>
  <si>
    <t>Domingo</t>
  </si>
  <si>
    <t>05-07-2026</t>
  </si>
  <si>
    <t>Lunes</t>
  </si>
  <si>
    <t>06-07-2026</t>
  </si>
  <si>
    <t>Nueva Holanda</t>
  </si>
  <si>
    <t>Martes</t>
  </si>
  <si>
    <t>07-07-2026</t>
  </si>
  <si>
    <t>Mall Plaza Talca</t>
  </si>
  <si>
    <t>08-07-2026</t>
  </si>
  <si>
    <t>Mercado Central</t>
  </si>
  <si>
    <t>09-07-2026</t>
  </si>
  <si>
    <t>Cooperativa Lircay</t>
  </si>
  <si>
    <t>10-07-2026</t>
  </si>
  <si>
    <t>San Miguel del Piduco</t>
  </si>
  <si>
    <t>11-07-2026</t>
  </si>
  <si>
    <t>12-07-2026</t>
  </si>
  <si>
    <t>13-07-2026</t>
  </si>
  <si>
    <t>Las Colines</t>
  </si>
  <si>
    <t>14-07-2026</t>
  </si>
  <si>
    <t>Villa Francia</t>
  </si>
  <si>
    <t>15-07-2026</t>
  </si>
  <si>
    <t>Centro Oriente</t>
  </si>
  <si>
    <t>16-07-2026</t>
  </si>
  <si>
    <t>Feriado</t>
  </si>
  <si>
    <t>17-07-2026</t>
  </si>
  <si>
    <t>Abate Molina</t>
  </si>
  <si>
    <t>18-07-2026</t>
  </si>
  <si>
    <t>19-07-2026</t>
  </si>
  <si>
    <t>20-07-2026</t>
  </si>
  <si>
    <t>San Javier Centro</t>
  </si>
  <si>
    <t>21-07-2026</t>
  </si>
  <si>
    <t>Terminal Linares</t>
  </si>
  <si>
    <t>22-07-2026</t>
  </si>
  <si>
    <t>Feria Oriente</t>
  </si>
  <si>
    <t>23-07-2026</t>
  </si>
  <si>
    <t>Salida Huapi</t>
  </si>
  <si>
    <t>24-07-2026</t>
  </si>
  <si>
    <t>Huapi Alto</t>
  </si>
  <si>
    <t>25-07-2026</t>
  </si>
  <si>
    <t>26-07-2026</t>
  </si>
  <si>
    <t>27-07-2026</t>
  </si>
  <si>
    <t>Población San Pablo</t>
  </si>
  <si>
    <t>28-07-2026</t>
  </si>
  <si>
    <t>Luis Cruz Martinez</t>
  </si>
  <si>
    <t>29-07-2026</t>
  </si>
  <si>
    <t>Maule Sur</t>
  </si>
  <si>
    <t>30-07-2026</t>
  </si>
  <si>
    <t>Miraflores Oriente</t>
  </si>
  <si>
    <t>31-07-2026</t>
  </si>
  <si>
    <t>Miraflores Poniente</t>
  </si>
  <si>
    <t>Total mensual</t>
  </si>
  <si>
    <t>Planificacion mensual - Samuel Inostroza</t>
  </si>
  <si>
    <t>Centro Plaza</t>
  </si>
  <si>
    <t>Centro Norte</t>
  </si>
  <si>
    <t>Feria - Mall - Terminal</t>
  </si>
  <si>
    <t>El Boldo</t>
  </si>
  <si>
    <t>Aguas Negras</t>
  </si>
  <si>
    <t>Guaiquillo - Aguas Negras</t>
  </si>
  <si>
    <t>Hospital - Alameda - Mataquito</t>
  </si>
  <si>
    <t>Santa Fe</t>
  </si>
  <si>
    <t>Santa Lucia - Santos Martínez</t>
  </si>
  <si>
    <t>Bombero Garrido - Vaticano</t>
  </si>
  <si>
    <t>Sarmiento - Rauquen</t>
  </si>
  <si>
    <t>Teno - Arboleda</t>
  </si>
  <si>
    <t>Lontue - Sagrada Familia</t>
  </si>
  <si>
    <t>Sol de Septiembre - Manuel Rodríguez</t>
  </si>
  <si>
    <t>Bombero Garrido - Tutuquen</t>
  </si>
  <si>
    <t>Itahue Molina Estación</t>
  </si>
  <si>
    <t>Romeral - Los Guaicos</t>
  </si>
  <si>
    <t>Molina Centro Porvenir</t>
  </si>
  <si>
    <t>Rauco - Comalle</t>
  </si>
  <si>
    <t>Planificacion mensual - Cristian Lizama</t>
  </si>
  <si>
    <t>SAN FDO. - CENTRO</t>
  </si>
  <si>
    <t>SAN FDO. CENTRO 2</t>
  </si>
  <si>
    <t>SAN FDO. - MANSO DE VELASCO</t>
  </si>
  <si>
    <t>SAN FDO. TERMINAL</t>
  </si>
  <si>
    <t>SAN FDO. CENTRO - PLAZA</t>
  </si>
  <si>
    <t>SAN FDO, - GABRIELA MISTRAL</t>
  </si>
  <si>
    <t>SAN FDO. - ORIENTE</t>
  </si>
  <si>
    <t>SAN FDO. - CENTINELA</t>
  </si>
  <si>
    <t>SAN FDO SUR</t>
  </si>
  <si>
    <t>SAN FDO. SUR PONIENTE 2</t>
  </si>
  <si>
    <t>PUENTE NEGRO - AGUA BUENA</t>
  </si>
  <si>
    <t>STA CRUZ  - AV. ERRAZURIZ</t>
  </si>
  <si>
    <t>STA CRUZ PONIENTE</t>
  </si>
  <si>
    <t>SATA .CRUZ ORIENTE</t>
  </si>
  <si>
    <t>STA CRUZ SUR</t>
  </si>
  <si>
    <t>STA CRUZ - BARREALES - PALMILLA</t>
  </si>
  <si>
    <t>POBLACION - PERALILLO</t>
  </si>
  <si>
    <t>PUMANQUE - NILAHUE</t>
  </si>
  <si>
    <t>PICHILEMU - ORIENTE</t>
  </si>
  <si>
    <t>PICHILEMU - COSTANERA</t>
  </si>
  <si>
    <t>POICHILEMU - AV.CAHUIL</t>
  </si>
  <si>
    <t>PICHILEMU - INFIERNILLO</t>
  </si>
  <si>
    <t>Planificacion mensual - Pablo Villarroel</t>
  </si>
  <si>
    <t>La Americas</t>
  </si>
  <si>
    <t>Terminal</t>
  </si>
  <si>
    <t>Independencia</t>
  </si>
  <si>
    <t>El Tabaco</t>
  </si>
  <si>
    <t>Estación</t>
  </si>
  <si>
    <t>Pelarco</t>
  </si>
  <si>
    <t>Panguilemo</t>
  </si>
  <si>
    <t>Planificacion mensual - Mauricio Picart</t>
  </si>
  <si>
    <t>Galilea - Doña Ignacia</t>
  </si>
  <si>
    <t>Doña Ignacia - Villa Ecuador</t>
  </si>
  <si>
    <t>Carlos Trupp</t>
  </si>
  <si>
    <t>Doña Consuelo</t>
  </si>
  <si>
    <t>Jardin del Valle</t>
  </si>
  <si>
    <t>Magisterio</t>
  </si>
  <si>
    <t>Maule</t>
  </si>
  <si>
    <t>Orilla de Maule</t>
  </si>
  <si>
    <t>Centeneja - Villa Alegre</t>
  </si>
  <si>
    <t>V.Alegre Estación - Pangal</t>
  </si>
  <si>
    <t>Centro Norte (Linares)</t>
  </si>
  <si>
    <t>A.Molina - J.M. Bari</t>
  </si>
  <si>
    <t>Pob.Yerbas Buenas</t>
  </si>
  <si>
    <t>La Florida</t>
  </si>
  <si>
    <t>Galilea</t>
  </si>
  <si>
    <t>Aurora de Chile</t>
  </si>
  <si>
    <t>Villa Perú</t>
  </si>
  <si>
    <t>Santa Marta</t>
  </si>
  <si>
    <t>Manso de Velasco</t>
  </si>
  <si>
    <t>Centro Talca</t>
  </si>
  <si>
    <t>Brilla el Sol</t>
  </si>
  <si>
    <t>Daniel Rebolledo</t>
  </si>
  <si>
    <t>Rembrand</t>
  </si>
  <si>
    <t>Don Sebastian</t>
  </si>
  <si>
    <t>Don Arturo</t>
  </si>
  <si>
    <t>Colin</t>
  </si>
  <si>
    <t>Estación - San Javier</t>
  </si>
  <si>
    <t>San Javier - La Palma</t>
  </si>
  <si>
    <t>Longavi - Los Cristales</t>
  </si>
  <si>
    <t>Longavi - La Sexta</t>
  </si>
  <si>
    <t>Santa Teresita Colin</t>
  </si>
  <si>
    <t>Alameda Sur</t>
  </si>
  <si>
    <t>Carretera Rauquen - Avda. España</t>
  </si>
  <si>
    <t>Lontue - Pichingal - Casa Blanca</t>
  </si>
  <si>
    <t>Los Niches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</si>
</sst>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  <font>
      <sz val="10"/>
      <color rgb="FF888888"/>
      <name val="Arial"/>
      <family val="2"/>
    </font>
    <font>
      <b/>
      <sz val="10"/>
      <color rgb="FFFF0000"/>
      <name val="Arial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3" fontId="3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workbookViewId="0">
      <selection sqref="A1:E1"/>
    </sheetView>
  </sheetViews>
  <sheetFormatPr baseColWidth="10" defaultColWidth="8.88671875" defaultRowHeight="14.4" x14ac:dyDescent="0.3"/>
  <cols>
    <col min="1" max="1" width="12" customWidth="1"/>
    <col min="2" max="2" width="13" customWidth="1"/>
    <col min="3" max="3" width="42" customWidth="1"/>
    <col min="4" max="4" width="8" customWidth="1"/>
    <col min="5" max="5" width="16" customWidth="1"/>
  </cols>
  <sheetData>
    <row r="1" spans="1:5" ht="22.05" customHeight="1" x14ac:dyDescent="0.3">
      <c r="A1" s="17" t="s">
        <v>0</v>
      </c>
      <c r="B1" s="18"/>
      <c r="C1" s="18"/>
      <c r="D1" s="18"/>
      <c r="E1" s="18"/>
    </row>
    <row r="2" spans="1:5" ht="18" customHeight="1" x14ac:dyDescent="0.3">
      <c r="A2" s="1" t="s">
        <v>1</v>
      </c>
      <c r="B2" s="2" t="s">
        <v>2</v>
      </c>
      <c r="C2" s="1" t="s">
        <v>3</v>
      </c>
      <c r="D2" s="3">
        <v>2201</v>
      </c>
      <c r="E2" s="2"/>
    </row>
    <row r="3" spans="1:5" ht="18" customHeight="1" x14ac:dyDescent="0.3">
      <c r="A3" s="1" t="s">
        <v>4</v>
      </c>
      <c r="B3" s="3">
        <f>SUM(D5:D35)</f>
        <v>2374</v>
      </c>
      <c r="C3" s="1" t="s">
        <v>5</v>
      </c>
      <c r="D3" s="4">
        <f>D2-B3</f>
        <v>-173</v>
      </c>
      <c r="E3" s="2"/>
    </row>
    <row r="4" spans="1:5" ht="18" customHeight="1" x14ac:dyDescent="0.3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 ht="16.05" customHeight="1" x14ac:dyDescent="0.3">
      <c r="A5" s="2" t="s">
        <v>11</v>
      </c>
      <c r="B5" s="2" t="s">
        <v>12</v>
      </c>
      <c r="C5" s="6" t="s">
        <v>13</v>
      </c>
      <c r="D5" s="3">
        <v>50</v>
      </c>
      <c r="E5" s="2">
        <v>15</v>
      </c>
    </row>
    <row r="6" spans="1:5" ht="16.05" customHeight="1" x14ac:dyDescent="0.3">
      <c r="A6" s="2" t="s">
        <v>14</v>
      </c>
      <c r="B6" s="2" t="s">
        <v>15</v>
      </c>
      <c r="C6" s="6" t="s">
        <v>16</v>
      </c>
      <c r="D6" s="3">
        <v>50</v>
      </c>
      <c r="E6" s="2">
        <v>15</v>
      </c>
    </row>
    <row r="7" spans="1:5" ht="16.05" customHeight="1" x14ac:dyDescent="0.3">
      <c r="A7" s="2" t="s">
        <v>17</v>
      </c>
      <c r="B7" s="2" t="s">
        <v>18</v>
      </c>
      <c r="C7" s="6" t="s">
        <v>19</v>
      </c>
      <c r="D7" s="3">
        <v>55</v>
      </c>
      <c r="E7" s="2">
        <v>15</v>
      </c>
    </row>
    <row r="8" spans="1:5" ht="16.05" customHeight="1" x14ac:dyDescent="0.3">
      <c r="A8" s="7" t="s">
        <v>20</v>
      </c>
      <c r="B8" s="7" t="s">
        <v>21</v>
      </c>
      <c r="C8" s="8"/>
      <c r="D8" s="9"/>
      <c r="E8" s="7"/>
    </row>
    <row r="9" spans="1:5" ht="16.05" customHeight="1" x14ac:dyDescent="0.3">
      <c r="A9" s="7" t="s">
        <v>22</v>
      </c>
      <c r="B9" s="7" t="s">
        <v>23</v>
      </c>
      <c r="C9" s="8"/>
      <c r="D9" s="9"/>
      <c r="E9" s="7"/>
    </row>
    <row r="10" spans="1:5" ht="16.05" customHeight="1" x14ac:dyDescent="0.3">
      <c r="A10" s="2" t="s">
        <v>24</v>
      </c>
      <c r="B10" s="2" t="s">
        <v>25</v>
      </c>
      <c r="C10" s="6" t="s">
        <v>26</v>
      </c>
      <c r="D10" s="3">
        <v>60</v>
      </c>
      <c r="E10" s="2">
        <v>15</v>
      </c>
    </row>
    <row r="11" spans="1:5" ht="16.05" customHeight="1" x14ac:dyDescent="0.3">
      <c r="A11" s="2" t="s">
        <v>27</v>
      </c>
      <c r="B11" s="2" t="s">
        <v>28</v>
      </c>
      <c r="C11" s="6" t="s">
        <v>29</v>
      </c>
      <c r="D11" s="3">
        <v>60</v>
      </c>
      <c r="E11" s="2">
        <v>15</v>
      </c>
    </row>
    <row r="12" spans="1:5" ht="16.05" customHeight="1" x14ac:dyDescent="0.3">
      <c r="A12" s="2" t="s">
        <v>11</v>
      </c>
      <c r="B12" s="2" t="s">
        <v>30</v>
      </c>
      <c r="C12" s="6" t="s">
        <v>31</v>
      </c>
      <c r="D12" s="3">
        <v>60</v>
      </c>
      <c r="E12" s="2">
        <v>15</v>
      </c>
    </row>
    <row r="13" spans="1:5" ht="16.05" customHeight="1" x14ac:dyDescent="0.3">
      <c r="A13" s="2" t="s">
        <v>14</v>
      </c>
      <c r="B13" s="2" t="s">
        <v>32</v>
      </c>
      <c r="C13" s="6" t="s">
        <v>33</v>
      </c>
      <c r="D13" s="3">
        <v>60</v>
      </c>
      <c r="E13" s="2">
        <v>15</v>
      </c>
    </row>
    <row r="14" spans="1:5" ht="16.05" customHeight="1" x14ac:dyDescent="0.3">
      <c r="A14" s="2" t="s">
        <v>17</v>
      </c>
      <c r="B14" s="2" t="s">
        <v>34</v>
      </c>
      <c r="C14" s="6" t="s">
        <v>35</v>
      </c>
      <c r="D14" s="3">
        <v>60</v>
      </c>
      <c r="E14" s="2">
        <v>15</v>
      </c>
    </row>
    <row r="15" spans="1:5" ht="16.05" customHeight="1" x14ac:dyDescent="0.3">
      <c r="A15" s="7" t="s">
        <v>20</v>
      </c>
      <c r="B15" s="7" t="s">
        <v>36</v>
      </c>
      <c r="C15" s="8"/>
      <c r="D15" s="9"/>
      <c r="E15" s="7"/>
    </row>
    <row r="16" spans="1:5" ht="16.05" customHeight="1" x14ac:dyDescent="0.3">
      <c r="A16" s="7" t="s">
        <v>22</v>
      </c>
      <c r="B16" s="7" t="s">
        <v>37</v>
      </c>
      <c r="C16" s="8"/>
      <c r="D16" s="9"/>
      <c r="E16" s="7"/>
    </row>
    <row r="17" spans="1:5" ht="16.05" customHeight="1" x14ac:dyDescent="0.3">
      <c r="A17" s="2" t="s">
        <v>24</v>
      </c>
      <c r="B17" s="2" t="s">
        <v>38</v>
      </c>
      <c r="C17" s="6" t="s">
        <v>39</v>
      </c>
      <c r="D17" s="3">
        <v>65</v>
      </c>
      <c r="E17" s="2">
        <v>15</v>
      </c>
    </row>
    <row r="18" spans="1:5" ht="16.05" customHeight="1" x14ac:dyDescent="0.3">
      <c r="A18" s="2" t="s">
        <v>27</v>
      </c>
      <c r="B18" s="2" t="s">
        <v>40</v>
      </c>
      <c r="C18" s="6" t="s">
        <v>41</v>
      </c>
      <c r="D18" s="3">
        <v>65</v>
      </c>
      <c r="E18" s="2">
        <v>15</v>
      </c>
    </row>
    <row r="19" spans="1:5" ht="16.05" customHeight="1" x14ac:dyDescent="0.3">
      <c r="A19" s="2" t="s">
        <v>11</v>
      </c>
      <c r="B19" s="2" t="s">
        <v>42</v>
      </c>
      <c r="C19" s="6" t="s">
        <v>43</v>
      </c>
      <c r="D19" s="3">
        <v>65</v>
      </c>
      <c r="E19" s="2">
        <v>15</v>
      </c>
    </row>
    <row r="20" spans="1:5" ht="16.05" customHeight="1" x14ac:dyDescent="0.3">
      <c r="A20" s="7" t="s">
        <v>14</v>
      </c>
      <c r="B20" s="7" t="s">
        <v>44</v>
      </c>
      <c r="C20" s="10" t="s">
        <v>45</v>
      </c>
      <c r="D20" s="9"/>
      <c r="E20" s="7"/>
    </row>
    <row r="21" spans="1:5" ht="16.05" customHeight="1" x14ac:dyDescent="0.3">
      <c r="A21" s="2" t="s">
        <v>17</v>
      </c>
      <c r="B21" s="2" t="s">
        <v>46</v>
      </c>
      <c r="C21" s="6" t="s">
        <v>47</v>
      </c>
      <c r="D21" s="3">
        <v>65</v>
      </c>
      <c r="E21" s="2">
        <v>15</v>
      </c>
    </row>
    <row r="22" spans="1:5" ht="16.05" customHeight="1" x14ac:dyDescent="0.3">
      <c r="A22" s="7" t="s">
        <v>20</v>
      </c>
      <c r="B22" s="7" t="s">
        <v>48</v>
      </c>
      <c r="C22" s="8"/>
      <c r="D22" s="9"/>
      <c r="E22" s="7"/>
    </row>
    <row r="23" spans="1:5" ht="16.05" customHeight="1" x14ac:dyDescent="0.3">
      <c r="A23" s="7" t="s">
        <v>22</v>
      </c>
      <c r="B23" s="7" t="s">
        <v>49</v>
      </c>
      <c r="C23" s="8"/>
      <c r="D23" s="9"/>
      <c r="E23" s="7"/>
    </row>
    <row r="24" spans="1:5" ht="16.05" customHeight="1" x14ac:dyDescent="0.3">
      <c r="A24" s="2" t="s">
        <v>24</v>
      </c>
      <c r="B24" s="2" t="s">
        <v>50</v>
      </c>
      <c r="C24" s="6" t="s">
        <v>51</v>
      </c>
      <c r="D24" s="3">
        <v>89</v>
      </c>
      <c r="E24" s="2">
        <v>15</v>
      </c>
    </row>
    <row r="25" spans="1:5" ht="16.05" customHeight="1" x14ac:dyDescent="0.3">
      <c r="A25" s="2" t="s">
        <v>27</v>
      </c>
      <c r="B25" s="2" t="s">
        <v>52</v>
      </c>
      <c r="C25" s="6" t="s">
        <v>53</v>
      </c>
      <c r="D25" s="3">
        <v>150</v>
      </c>
      <c r="E25" s="2">
        <v>15</v>
      </c>
    </row>
    <row r="26" spans="1:5" ht="16.05" customHeight="1" x14ac:dyDescent="0.3">
      <c r="A26" s="2" t="s">
        <v>11</v>
      </c>
      <c r="B26" s="2" t="s">
        <v>54</v>
      </c>
      <c r="C26" s="6" t="s">
        <v>55</v>
      </c>
      <c r="D26" s="3">
        <v>150</v>
      </c>
      <c r="E26" s="2">
        <v>15</v>
      </c>
    </row>
    <row r="27" spans="1:5" ht="16.05" customHeight="1" x14ac:dyDescent="0.3">
      <c r="A27" s="2" t="s">
        <v>14</v>
      </c>
      <c r="B27" s="2" t="s">
        <v>56</v>
      </c>
      <c r="C27" s="6" t="s">
        <v>57</v>
      </c>
      <c r="D27" s="3">
        <v>160</v>
      </c>
      <c r="E27" s="2">
        <v>15</v>
      </c>
    </row>
    <row r="28" spans="1:5" ht="16.05" customHeight="1" x14ac:dyDescent="0.3">
      <c r="A28" s="2" t="s">
        <v>17</v>
      </c>
      <c r="B28" s="2" t="s">
        <v>58</v>
      </c>
      <c r="C28" s="6" t="s">
        <v>59</v>
      </c>
      <c r="D28" s="3">
        <v>160</v>
      </c>
      <c r="E28" s="2">
        <v>15</v>
      </c>
    </row>
    <row r="29" spans="1:5" ht="16.05" customHeight="1" x14ac:dyDescent="0.3">
      <c r="A29" s="7" t="s">
        <v>20</v>
      </c>
      <c r="B29" s="7" t="s">
        <v>60</v>
      </c>
      <c r="C29" s="8"/>
      <c r="D29" s="9"/>
      <c r="E29" s="7"/>
    </row>
    <row r="30" spans="1:5" ht="16.05" customHeight="1" x14ac:dyDescent="0.3">
      <c r="A30" s="7" t="s">
        <v>22</v>
      </c>
      <c r="B30" s="7" t="s">
        <v>61</v>
      </c>
      <c r="C30" s="8"/>
      <c r="D30" s="9"/>
      <c r="E30" s="7"/>
    </row>
    <row r="31" spans="1:5" ht="16.05" customHeight="1" x14ac:dyDescent="0.3">
      <c r="A31" s="2" t="s">
        <v>24</v>
      </c>
      <c r="B31" s="2" t="s">
        <v>62</v>
      </c>
      <c r="C31" s="6" t="s">
        <v>63</v>
      </c>
      <c r="D31" s="3">
        <v>165</v>
      </c>
      <c r="E31" s="2">
        <v>15</v>
      </c>
    </row>
    <row r="32" spans="1:5" ht="16.05" customHeight="1" x14ac:dyDescent="0.3">
      <c r="A32" s="2" t="s">
        <v>27</v>
      </c>
      <c r="B32" s="2" t="s">
        <v>64</v>
      </c>
      <c r="C32" s="6" t="s">
        <v>65</v>
      </c>
      <c r="D32" s="3">
        <v>165</v>
      </c>
      <c r="E32" s="2">
        <v>15</v>
      </c>
    </row>
    <row r="33" spans="1:5" ht="16.05" customHeight="1" x14ac:dyDescent="0.3">
      <c r="A33" s="2" t="s">
        <v>11</v>
      </c>
      <c r="B33" s="2" t="s">
        <v>66</v>
      </c>
      <c r="C33" s="6" t="s">
        <v>67</v>
      </c>
      <c r="D33" s="3">
        <v>180</v>
      </c>
      <c r="E33" s="2">
        <v>15</v>
      </c>
    </row>
    <row r="34" spans="1:5" ht="16.05" customHeight="1" x14ac:dyDescent="0.3">
      <c r="A34" s="2" t="s">
        <v>14</v>
      </c>
      <c r="B34" s="2" t="s">
        <v>68</v>
      </c>
      <c r="C34" s="6" t="s">
        <v>69</v>
      </c>
      <c r="D34" s="3">
        <v>220</v>
      </c>
      <c r="E34" s="2">
        <v>15</v>
      </c>
    </row>
    <row r="35" spans="1:5" ht="16.05" customHeight="1" x14ac:dyDescent="0.3">
      <c r="A35" s="2" t="s">
        <v>17</v>
      </c>
      <c r="B35" s="2" t="s">
        <v>70</v>
      </c>
      <c r="C35" s="6" t="s">
        <v>71</v>
      </c>
      <c r="D35" s="3">
        <v>220</v>
      </c>
      <c r="E35" s="2">
        <v>15</v>
      </c>
    </row>
    <row r="36" spans="1:5" ht="18" customHeight="1" x14ac:dyDescent="0.3">
      <c r="A36" s="11" t="s">
        <v>72</v>
      </c>
      <c r="B36" s="12"/>
      <c r="C36" s="12"/>
      <c r="D36" s="13">
        <f>SUM(D5:D35)</f>
        <v>2374</v>
      </c>
      <c r="E36" s="13">
        <f>SUM(E5:E35)</f>
        <v>330</v>
      </c>
    </row>
    <row r="37" spans="1:5" ht="18" customHeight="1" x14ac:dyDescent="0.3">
      <c r="A37" s="14" t="s">
        <v>5</v>
      </c>
      <c r="B37" s="15"/>
      <c r="C37" s="15"/>
      <c r="D37" s="16">
        <f>D2-D36</f>
        <v>-173</v>
      </c>
      <c r="E37" s="15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tabSelected="1" workbookViewId="0">
      <selection activeCell="C16" sqref="C16"/>
    </sheetView>
  </sheetViews>
  <sheetFormatPr baseColWidth="10" defaultColWidth="8.88671875" defaultRowHeight="14.4" x14ac:dyDescent="0.3"/>
  <cols>
    <col min="1" max="1" width="12" customWidth="1"/>
    <col min="2" max="2" width="13" customWidth="1"/>
    <col min="3" max="3" width="42" customWidth="1"/>
    <col min="4" max="4" width="8" customWidth="1"/>
    <col min="5" max="5" width="16" customWidth="1"/>
  </cols>
  <sheetData>
    <row r="1" spans="1:5" ht="22.05" customHeight="1" x14ac:dyDescent="0.3">
      <c r="A1" s="17" t="s">
        <v>73</v>
      </c>
      <c r="B1" s="18"/>
      <c r="C1" s="18"/>
      <c r="D1" s="18"/>
      <c r="E1" s="18"/>
    </row>
    <row r="2" spans="1:5" ht="18" customHeight="1" x14ac:dyDescent="0.3">
      <c r="A2" s="1" t="s">
        <v>1</v>
      </c>
      <c r="B2" s="2" t="s">
        <v>2</v>
      </c>
      <c r="C2" s="1" t="s">
        <v>3</v>
      </c>
      <c r="D2" s="3">
        <v>1235</v>
      </c>
      <c r="E2" s="2"/>
    </row>
    <row r="3" spans="1:5" ht="18" customHeight="1" x14ac:dyDescent="0.3">
      <c r="A3" s="1" t="s">
        <v>4</v>
      </c>
      <c r="B3" s="3">
        <f>SUM(D5:D35)</f>
        <v>1896</v>
      </c>
      <c r="C3" s="1" t="s">
        <v>5</v>
      </c>
      <c r="D3" s="4">
        <f>D2-B3</f>
        <v>-661</v>
      </c>
      <c r="E3" s="2"/>
    </row>
    <row r="4" spans="1:5" ht="18" customHeight="1" x14ac:dyDescent="0.3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 ht="16.05" customHeight="1" x14ac:dyDescent="0.3">
      <c r="A5" s="2" t="s">
        <v>11</v>
      </c>
      <c r="B5" s="2" t="s">
        <v>12</v>
      </c>
      <c r="C5" s="6" t="s">
        <v>75</v>
      </c>
      <c r="D5" s="3">
        <v>47</v>
      </c>
      <c r="E5" s="2">
        <v>15</v>
      </c>
    </row>
    <row r="6" spans="1:5" ht="16.05" customHeight="1" x14ac:dyDescent="0.3">
      <c r="A6" s="2" t="s">
        <v>14</v>
      </c>
      <c r="B6" s="2" t="s">
        <v>15</v>
      </c>
      <c r="C6" s="6" t="s">
        <v>74</v>
      </c>
      <c r="D6" s="3">
        <v>47</v>
      </c>
      <c r="E6" s="2">
        <v>15</v>
      </c>
    </row>
    <row r="7" spans="1:5" ht="16.05" customHeight="1" x14ac:dyDescent="0.3">
      <c r="A7" s="2" t="s">
        <v>17</v>
      </c>
      <c r="B7" s="2" t="s">
        <v>18</v>
      </c>
      <c r="C7" s="6" t="s">
        <v>76</v>
      </c>
      <c r="D7" s="3">
        <v>47</v>
      </c>
      <c r="E7" s="2">
        <v>15</v>
      </c>
    </row>
    <row r="8" spans="1:5" ht="16.05" customHeight="1" x14ac:dyDescent="0.3">
      <c r="A8" s="7" t="s">
        <v>20</v>
      </c>
      <c r="B8" s="7" t="s">
        <v>21</v>
      </c>
      <c r="C8" s="8"/>
      <c r="D8" s="9"/>
      <c r="E8" s="7"/>
    </row>
    <row r="9" spans="1:5" ht="16.05" customHeight="1" x14ac:dyDescent="0.3">
      <c r="A9" s="7" t="s">
        <v>22</v>
      </c>
      <c r="B9" s="7" t="s">
        <v>23</v>
      </c>
      <c r="C9" s="8"/>
      <c r="D9" s="9"/>
      <c r="E9" s="7"/>
    </row>
    <row r="10" spans="1:5" ht="16.05" customHeight="1" x14ac:dyDescent="0.3">
      <c r="A10" s="2" t="s">
        <v>24</v>
      </c>
      <c r="B10" s="2" t="s">
        <v>25</v>
      </c>
      <c r="C10" s="6" t="s">
        <v>78</v>
      </c>
      <c r="D10" s="3">
        <v>59</v>
      </c>
      <c r="E10" s="2">
        <v>15</v>
      </c>
    </row>
    <row r="11" spans="1:5" ht="16.05" customHeight="1" x14ac:dyDescent="0.3">
      <c r="A11" s="2" t="s">
        <v>27</v>
      </c>
      <c r="B11" s="2" t="s">
        <v>28</v>
      </c>
      <c r="C11" s="6" t="s">
        <v>77</v>
      </c>
      <c r="D11" s="3">
        <v>59</v>
      </c>
      <c r="E11" s="2">
        <v>15</v>
      </c>
    </row>
    <row r="12" spans="1:5" ht="16.05" customHeight="1" x14ac:dyDescent="0.3">
      <c r="A12" s="2" t="s">
        <v>11</v>
      </c>
      <c r="B12" s="2" t="s">
        <v>30</v>
      </c>
      <c r="C12" s="6" t="s">
        <v>79</v>
      </c>
      <c r="D12" s="3">
        <v>63</v>
      </c>
      <c r="E12" s="2">
        <v>15</v>
      </c>
    </row>
    <row r="13" spans="1:5" ht="16.05" customHeight="1" x14ac:dyDescent="0.3">
      <c r="A13" s="2" t="s">
        <v>14</v>
      </c>
      <c r="B13" s="2" t="s">
        <v>32</v>
      </c>
      <c r="C13" s="6" t="s">
        <v>80</v>
      </c>
      <c r="D13" s="3">
        <v>68</v>
      </c>
      <c r="E13" s="2">
        <v>15</v>
      </c>
    </row>
    <row r="14" spans="1:5" ht="16.05" customHeight="1" x14ac:dyDescent="0.3">
      <c r="A14" s="2" t="s">
        <v>17</v>
      </c>
      <c r="B14" s="2" t="s">
        <v>34</v>
      </c>
      <c r="C14" s="6" t="s">
        <v>81</v>
      </c>
      <c r="D14" s="3">
        <v>69</v>
      </c>
      <c r="E14" s="2">
        <v>15</v>
      </c>
    </row>
    <row r="15" spans="1:5" ht="16.05" customHeight="1" x14ac:dyDescent="0.3">
      <c r="A15" s="7" t="s">
        <v>20</v>
      </c>
      <c r="B15" s="7" t="s">
        <v>36</v>
      </c>
      <c r="C15" s="8"/>
      <c r="D15" s="9"/>
      <c r="E15" s="7"/>
    </row>
    <row r="16" spans="1:5" ht="16.05" customHeight="1" x14ac:dyDescent="0.3">
      <c r="A16" s="7" t="s">
        <v>22</v>
      </c>
      <c r="B16" s="7" t="s">
        <v>37</v>
      </c>
      <c r="C16" s="8"/>
      <c r="D16" s="9"/>
      <c r="E16" s="7"/>
    </row>
    <row r="17" spans="1:5" ht="16.05" customHeight="1" x14ac:dyDescent="0.3">
      <c r="A17" s="2" t="s">
        <v>24</v>
      </c>
      <c r="B17" s="2" t="s">
        <v>38</v>
      </c>
      <c r="C17" s="6" t="s">
        <v>82</v>
      </c>
      <c r="D17" s="3">
        <v>69</v>
      </c>
      <c r="E17" s="2">
        <v>15</v>
      </c>
    </row>
    <row r="18" spans="1:5" ht="16.05" customHeight="1" x14ac:dyDescent="0.3">
      <c r="A18" s="2" t="s">
        <v>27</v>
      </c>
      <c r="B18" s="2" t="s">
        <v>40</v>
      </c>
      <c r="C18" s="6" t="s">
        <v>83</v>
      </c>
      <c r="D18" s="3">
        <v>78</v>
      </c>
      <c r="E18" s="2">
        <v>15</v>
      </c>
    </row>
    <row r="19" spans="1:5" ht="16.05" customHeight="1" x14ac:dyDescent="0.3">
      <c r="A19" s="2" t="s">
        <v>11</v>
      </c>
      <c r="B19" s="2" t="s">
        <v>42</v>
      </c>
      <c r="C19" s="6" t="s">
        <v>84</v>
      </c>
      <c r="D19" s="3">
        <v>78</v>
      </c>
      <c r="E19" s="2">
        <v>15</v>
      </c>
    </row>
    <row r="20" spans="1:5" ht="16.05" customHeight="1" x14ac:dyDescent="0.3">
      <c r="A20" s="7" t="s">
        <v>14</v>
      </c>
      <c r="B20" s="7" t="s">
        <v>44</v>
      </c>
      <c r="C20" s="10" t="s">
        <v>45</v>
      </c>
      <c r="D20" s="9"/>
      <c r="E20" s="7"/>
    </row>
    <row r="21" spans="1:5" ht="16.05" customHeight="1" x14ac:dyDescent="0.3">
      <c r="A21" s="2" t="s">
        <v>17</v>
      </c>
      <c r="B21" s="2" t="s">
        <v>46</v>
      </c>
      <c r="C21" s="6" t="s">
        <v>85</v>
      </c>
      <c r="D21" s="3">
        <v>94</v>
      </c>
      <c r="E21" s="2">
        <v>15</v>
      </c>
    </row>
    <row r="22" spans="1:5" ht="16.05" customHeight="1" x14ac:dyDescent="0.3">
      <c r="A22" s="7" t="s">
        <v>20</v>
      </c>
      <c r="B22" s="7" t="s">
        <v>48</v>
      </c>
      <c r="C22" s="8"/>
      <c r="D22" s="9"/>
      <c r="E22" s="7"/>
    </row>
    <row r="23" spans="1:5" ht="16.05" customHeight="1" x14ac:dyDescent="0.3">
      <c r="A23" s="7" t="s">
        <v>22</v>
      </c>
      <c r="B23" s="7" t="s">
        <v>49</v>
      </c>
      <c r="C23" s="8"/>
      <c r="D23" s="9"/>
      <c r="E23" s="7"/>
    </row>
    <row r="24" spans="1:5" ht="16.05" customHeight="1" x14ac:dyDescent="0.3">
      <c r="A24" s="2" t="s">
        <v>24</v>
      </c>
      <c r="B24" s="2" t="s">
        <v>50</v>
      </c>
      <c r="C24" s="6" t="s">
        <v>88</v>
      </c>
      <c r="D24" s="3">
        <v>98</v>
      </c>
      <c r="E24" s="2">
        <v>15</v>
      </c>
    </row>
    <row r="25" spans="1:5" ht="16.05" customHeight="1" x14ac:dyDescent="0.3">
      <c r="A25" s="2" t="s">
        <v>27</v>
      </c>
      <c r="B25" s="2" t="s">
        <v>52</v>
      </c>
      <c r="C25" s="6" t="s">
        <v>86</v>
      </c>
      <c r="D25" s="3">
        <v>98</v>
      </c>
      <c r="E25" s="2">
        <v>15</v>
      </c>
    </row>
    <row r="26" spans="1:5" ht="16.05" customHeight="1" x14ac:dyDescent="0.3">
      <c r="A26" s="2" t="s">
        <v>11</v>
      </c>
      <c r="B26" s="2" t="s">
        <v>54</v>
      </c>
      <c r="C26" s="6" t="s">
        <v>87</v>
      </c>
      <c r="D26" s="3">
        <v>98</v>
      </c>
      <c r="E26" s="2">
        <v>15</v>
      </c>
    </row>
    <row r="27" spans="1:5" ht="16.05" customHeight="1" x14ac:dyDescent="0.3">
      <c r="A27" s="2" t="s">
        <v>14</v>
      </c>
      <c r="B27" s="2" t="s">
        <v>56</v>
      </c>
      <c r="C27" s="6" t="s">
        <v>89</v>
      </c>
      <c r="D27" s="3">
        <v>102</v>
      </c>
      <c r="E27" s="2">
        <v>15</v>
      </c>
    </row>
    <row r="28" spans="1:5" ht="16.05" customHeight="1" x14ac:dyDescent="0.3">
      <c r="A28" s="2" t="s">
        <v>17</v>
      </c>
      <c r="B28" s="2" t="s">
        <v>58</v>
      </c>
      <c r="C28" s="6" t="s">
        <v>157</v>
      </c>
      <c r="D28" s="3">
        <v>108</v>
      </c>
      <c r="E28" s="2">
        <v>15</v>
      </c>
    </row>
    <row r="29" spans="1:5" ht="16.05" customHeight="1" x14ac:dyDescent="0.3">
      <c r="A29" s="7" t="s">
        <v>20</v>
      </c>
      <c r="B29" s="7" t="s">
        <v>60</v>
      </c>
      <c r="C29" s="8"/>
      <c r="D29" s="9"/>
      <c r="E29" s="7"/>
    </row>
    <row r="30" spans="1:5" ht="16.05" customHeight="1" x14ac:dyDescent="0.3">
      <c r="A30" s="7" t="s">
        <v>22</v>
      </c>
      <c r="B30" s="7" t="s">
        <v>61</v>
      </c>
      <c r="C30" s="8"/>
      <c r="D30" s="9"/>
      <c r="E30" s="7"/>
    </row>
    <row r="31" spans="1:5" ht="16.05" customHeight="1" x14ac:dyDescent="0.3">
      <c r="A31" s="2" t="s">
        <v>24</v>
      </c>
      <c r="B31" s="2" t="s">
        <v>62</v>
      </c>
      <c r="C31" s="6" t="s">
        <v>158</v>
      </c>
      <c r="D31" s="3">
        <v>108</v>
      </c>
      <c r="E31" s="2">
        <v>15</v>
      </c>
    </row>
    <row r="32" spans="1:5" ht="16.05" customHeight="1" x14ac:dyDescent="0.3">
      <c r="A32" s="2" t="s">
        <v>27</v>
      </c>
      <c r="B32" s="2" t="s">
        <v>64</v>
      </c>
      <c r="C32" s="6" t="s">
        <v>91</v>
      </c>
      <c r="D32" s="3">
        <v>111</v>
      </c>
      <c r="E32" s="2">
        <v>15</v>
      </c>
    </row>
    <row r="33" spans="1:5" ht="16.05" customHeight="1" x14ac:dyDescent="0.3">
      <c r="A33" s="2" t="s">
        <v>11</v>
      </c>
      <c r="B33" s="2" t="s">
        <v>66</v>
      </c>
      <c r="C33" s="6" t="s">
        <v>90</v>
      </c>
      <c r="D33" s="3">
        <v>111</v>
      </c>
      <c r="E33" s="2">
        <v>15</v>
      </c>
    </row>
    <row r="34" spans="1:5" ht="16.05" customHeight="1" x14ac:dyDescent="0.3">
      <c r="A34" s="2" t="s">
        <v>14</v>
      </c>
      <c r="B34" s="2" t="s">
        <v>68</v>
      </c>
      <c r="C34" s="6" t="s">
        <v>159</v>
      </c>
      <c r="D34" s="3">
        <v>142</v>
      </c>
      <c r="E34" s="2">
        <v>15</v>
      </c>
    </row>
    <row r="35" spans="1:5" ht="16.05" customHeight="1" x14ac:dyDescent="0.3">
      <c r="A35" s="2" t="s">
        <v>17</v>
      </c>
      <c r="B35" s="2" t="s">
        <v>70</v>
      </c>
      <c r="C35" s="6" t="s">
        <v>92</v>
      </c>
      <c r="D35" s="3">
        <v>142</v>
      </c>
      <c r="E35" s="2">
        <v>15</v>
      </c>
    </row>
    <row r="36" spans="1:5" ht="18" customHeight="1" x14ac:dyDescent="0.3">
      <c r="A36" s="11" t="s">
        <v>72</v>
      </c>
      <c r="B36" s="12"/>
      <c r="C36" s="12"/>
      <c r="D36" s="13">
        <f>SUM(D5:D35)</f>
        <v>1896</v>
      </c>
      <c r="E36" s="13">
        <f>SUM(E5:E35)</f>
        <v>330</v>
      </c>
    </row>
    <row r="37" spans="1:5" ht="18" customHeight="1" x14ac:dyDescent="0.3">
      <c r="A37" s="14" t="s">
        <v>5</v>
      </c>
      <c r="B37" s="15"/>
      <c r="C37" s="15"/>
      <c r="D37" s="16">
        <f>D2-D36</f>
        <v>-661</v>
      </c>
      <c r="E37" s="15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>
      <selection sqref="A1:E1"/>
    </sheetView>
  </sheetViews>
  <sheetFormatPr baseColWidth="10" defaultColWidth="8.88671875" defaultRowHeight="14.4" x14ac:dyDescent="0.3"/>
  <cols>
    <col min="1" max="1" width="12" customWidth="1"/>
    <col min="2" max="2" width="13" customWidth="1"/>
    <col min="3" max="3" width="42" customWidth="1"/>
    <col min="4" max="4" width="8" customWidth="1"/>
    <col min="5" max="5" width="16" customWidth="1"/>
  </cols>
  <sheetData>
    <row r="1" spans="1:5" ht="22.05" customHeight="1" x14ac:dyDescent="0.3">
      <c r="A1" s="17" t="s">
        <v>93</v>
      </c>
      <c r="B1" s="18"/>
      <c r="C1" s="18"/>
      <c r="D1" s="18"/>
      <c r="E1" s="18"/>
    </row>
    <row r="2" spans="1:5" ht="18" customHeight="1" x14ac:dyDescent="0.3">
      <c r="A2" s="1" t="s">
        <v>1</v>
      </c>
      <c r="B2" s="2" t="s">
        <v>2</v>
      </c>
      <c r="C2" s="1" t="s">
        <v>3</v>
      </c>
      <c r="D2" s="3">
        <v>2337</v>
      </c>
      <c r="E2" s="2"/>
    </row>
    <row r="3" spans="1:5" ht="18" customHeight="1" x14ac:dyDescent="0.3">
      <c r="A3" s="1" t="s">
        <v>4</v>
      </c>
      <c r="B3" s="3">
        <f>SUM(D5:D35)</f>
        <v>2559</v>
      </c>
      <c r="C3" s="1" t="s">
        <v>5</v>
      </c>
      <c r="D3" s="4">
        <f>D2-B3</f>
        <v>-222</v>
      </c>
      <c r="E3" s="2"/>
    </row>
    <row r="4" spans="1:5" ht="18" customHeight="1" x14ac:dyDescent="0.3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 ht="16.05" customHeight="1" x14ac:dyDescent="0.3">
      <c r="A5" s="2" t="s">
        <v>11</v>
      </c>
      <c r="B5" s="2" t="s">
        <v>12</v>
      </c>
      <c r="C5" s="6" t="s">
        <v>94</v>
      </c>
      <c r="D5" s="3">
        <v>25</v>
      </c>
      <c r="E5" s="2">
        <v>15</v>
      </c>
    </row>
    <row r="6" spans="1:5" ht="16.05" customHeight="1" x14ac:dyDescent="0.3">
      <c r="A6" s="2" t="s">
        <v>14</v>
      </c>
      <c r="B6" s="2" t="s">
        <v>15</v>
      </c>
      <c r="C6" s="6" t="s">
        <v>95</v>
      </c>
      <c r="D6" s="3">
        <v>25</v>
      </c>
      <c r="E6" s="2">
        <v>15</v>
      </c>
    </row>
    <row r="7" spans="1:5" ht="16.05" customHeight="1" x14ac:dyDescent="0.3">
      <c r="A7" s="2" t="s">
        <v>17</v>
      </c>
      <c r="B7" s="2" t="s">
        <v>18</v>
      </c>
      <c r="C7" s="6" t="s">
        <v>96</v>
      </c>
      <c r="D7" s="3">
        <v>25</v>
      </c>
      <c r="E7" s="2">
        <v>15</v>
      </c>
    </row>
    <row r="8" spans="1:5" ht="16.05" customHeight="1" x14ac:dyDescent="0.3">
      <c r="A8" s="7" t="s">
        <v>20</v>
      </c>
      <c r="B8" s="7" t="s">
        <v>21</v>
      </c>
      <c r="C8" s="8"/>
      <c r="D8" s="9"/>
      <c r="E8" s="7"/>
    </row>
    <row r="9" spans="1:5" ht="16.05" customHeight="1" x14ac:dyDescent="0.3">
      <c r="A9" s="7" t="s">
        <v>22</v>
      </c>
      <c r="B9" s="7" t="s">
        <v>23</v>
      </c>
      <c r="C9" s="8"/>
      <c r="D9" s="9"/>
      <c r="E9" s="7"/>
    </row>
    <row r="10" spans="1:5" ht="16.05" customHeight="1" x14ac:dyDescent="0.3">
      <c r="A10" s="2" t="s">
        <v>24</v>
      </c>
      <c r="B10" s="2" t="s">
        <v>25</v>
      </c>
      <c r="C10" s="6" t="s">
        <v>97</v>
      </c>
      <c r="D10" s="3">
        <v>25</v>
      </c>
      <c r="E10" s="2">
        <v>15</v>
      </c>
    </row>
    <row r="11" spans="1:5" ht="16.05" customHeight="1" x14ac:dyDescent="0.3">
      <c r="A11" s="2" t="s">
        <v>27</v>
      </c>
      <c r="B11" s="2" t="s">
        <v>28</v>
      </c>
      <c r="C11" s="6" t="s">
        <v>98</v>
      </c>
      <c r="D11" s="3">
        <v>31</v>
      </c>
      <c r="E11" s="2">
        <v>15</v>
      </c>
    </row>
    <row r="12" spans="1:5" ht="16.05" customHeight="1" x14ac:dyDescent="0.3">
      <c r="A12" s="2" t="s">
        <v>11</v>
      </c>
      <c r="B12" s="2" t="s">
        <v>30</v>
      </c>
      <c r="C12" s="6" t="s">
        <v>99</v>
      </c>
      <c r="D12" s="3">
        <v>32</v>
      </c>
      <c r="E12" s="2">
        <v>15</v>
      </c>
    </row>
    <row r="13" spans="1:5" ht="16.05" customHeight="1" x14ac:dyDescent="0.3">
      <c r="A13" s="2" t="s">
        <v>14</v>
      </c>
      <c r="B13" s="2" t="s">
        <v>32</v>
      </c>
      <c r="C13" s="6" t="s">
        <v>100</v>
      </c>
      <c r="D13" s="3">
        <v>34</v>
      </c>
      <c r="E13" s="2">
        <v>15</v>
      </c>
    </row>
    <row r="14" spans="1:5" ht="16.05" customHeight="1" x14ac:dyDescent="0.3">
      <c r="A14" s="2" t="s">
        <v>17</v>
      </c>
      <c r="B14" s="2" t="s">
        <v>34</v>
      </c>
      <c r="C14" s="6" t="s">
        <v>101</v>
      </c>
      <c r="D14" s="3">
        <v>35</v>
      </c>
      <c r="E14" s="2">
        <v>15</v>
      </c>
    </row>
    <row r="15" spans="1:5" ht="16.05" customHeight="1" x14ac:dyDescent="0.3">
      <c r="A15" s="7" t="s">
        <v>20</v>
      </c>
      <c r="B15" s="7" t="s">
        <v>36</v>
      </c>
      <c r="C15" s="8"/>
      <c r="D15" s="9"/>
      <c r="E15" s="7"/>
    </row>
    <row r="16" spans="1:5" ht="16.05" customHeight="1" x14ac:dyDescent="0.3">
      <c r="A16" s="7" t="s">
        <v>22</v>
      </c>
      <c r="B16" s="7" t="s">
        <v>37</v>
      </c>
      <c r="C16" s="8"/>
      <c r="D16" s="9"/>
      <c r="E16" s="7"/>
    </row>
    <row r="17" spans="1:5" ht="16.05" customHeight="1" x14ac:dyDescent="0.3">
      <c r="A17" s="2" t="s">
        <v>24</v>
      </c>
      <c r="B17" s="2" t="s">
        <v>38</v>
      </c>
      <c r="C17" s="6" t="s">
        <v>102</v>
      </c>
      <c r="D17" s="3">
        <v>35</v>
      </c>
      <c r="E17" s="2">
        <v>15</v>
      </c>
    </row>
    <row r="18" spans="1:5" ht="16.05" customHeight="1" x14ac:dyDescent="0.3">
      <c r="A18" s="2" t="s">
        <v>27</v>
      </c>
      <c r="B18" s="2" t="s">
        <v>40</v>
      </c>
      <c r="C18" s="6" t="s">
        <v>103</v>
      </c>
      <c r="D18" s="3">
        <v>35</v>
      </c>
      <c r="E18" s="2">
        <v>15</v>
      </c>
    </row>
    <row r="19" spans="1:5" ht="16.05" customHeight="1" x14ac:dyDescent="0.3">
      <c r="A19" s="2" t="s">
        <v>11</v>
      </c>
      <c r="B19" s="2" t="s">
        <v>42</v>
      </c>
      <c r="C19" s="6" t="s">
        <v>104</v>
      </c>
      <c r="D19" s="3">
        <v>72</v>
      </c>
      <c r="E19" s="2">
        <v>15</v>
      </c>
    </row>
    <row r="20" spans="1:5" ht="16.05" customHeight="1" x14ac:dyDescent="0.3">
      <c r="A20" s="7" t="s">
        <v>14</v>
      </c>
      <c r="B20" s="7" t="s">
        <v>44</v>
      </c>
      <c r="C20" s="10" t="s">
        <v>45</v>
      </c>
      <c r="D20" s="9"/>
      <c r="E20" s="7"/>
    </row>
    <row r="21" spans="1:5" ht="16.05" customHeight="1" x14ac:dyDescent="0.3">
      <c r="A21" s="2" t="s">
        <v>17</v>
      </c>
      <c r="B21" s="2" t="s">
        <v>46</v>
      </c>
      <c r="C21" s="6" t="s">
        <v>105</v>
      </c>
      <c r="D21" s="3">
        <v>104</v>
      </c>
      <c r="E21" s="2">
        <v>15</v>
      </c>
    </row>
    <row r="22" spans="1:5" ht="16.05" customHeight="1" x14ac:dyDescent="0.3">
      <c r="A22" s="7" t="s">
        <v>20</v>
      </c>
      <c r="B22" s="7" t="s">
        <v>48</v>
      </c>
      <c r="C22" s="8"/>
      <c r="D22" s="9"/>
      <c r="E22" s="7"/>
    </row>
    <row r="23" spans="1:5" ht="16.05" customHeight="1" x14ac:dyDescent="0.3">
      <c r="A23" s="7" t="s">
        <v>22</v>
      </c>
      <c r="B23" s="7" t="s">
        <v>49</v>
      </c>
      <c r="C23" s="8"/>
      <c r="D23" s="9"/>
      <c r="E23" s="7"/>
    </row>
    <row r="24" spans="1:5" ht="16.05" customHeight="1" x14ac:dyDescent="0.3">
      <c r="A24" s="2" t="s">
        <v>24</v>
      </c>
      <c r="B24" s="2" t="s">
        <v>50</v>
      </c>
      <c r="C24" s="6" t="s">
        <v>106</v>
      </c>
      <c r="D24" s="3">
        <v>104</v>
      </c>
      <c r="E24" s="2">
        <v>15</v>
      </c>
    </row>
    <row r="25" spans="1:5" ht="16.05" customHeight="1" x14ac:dyDescent="0.3">
      <c r="A25" s="2" t="s">
        <v>27</v>
      </c>
      <c r="B25" s="2" t="s">
        <v>52</v>
      </c>
      <c r="C25" s="6" t="s">
        <v>107</v>
      </c>
      <c r="D25" s="3">
        <v>110</v>
      </c>
      <c r="E25" s="2">
        <v>15</v>
      </c>
    </row>
    <row r="26" spans="1:5" ht="16.05" customHeight="1" x14ac:dyDescent="0.3">
      <c r="A26" s="2" t="s">
        <v>11</v>
      </c>
      <c r="B26" s="2" t="s">
        <v>54</v>
      </c>
      <c r="C26" s="6" t="s">
        <v>108</v>
      </c>
      <c r="D26" s="3">
        <v>115</v>
      </c>
      <c r="E26" s="2">
        <v>15</v>
      </c>
    </row>
    <row r="27" spans="1:5" ht="16.05" customHeight="1" x14ac:dyDescent="0.3">
      <c r="A27" s="2" t="s">
        <v>14</v>
      </c>
      <c r="B27" s="2" t="s">
        <v>56</v>
      </c>
      <c r="C27" s="6" t="s">
        <v>109</v>
      </c>
      <c r="D27" s="3">
        <v>158</v>
      </c>
      <c r="E27" s="2">
        <v>15</v>
      </c>
    </row>
    <row r="28" spans="1:5" ht="16.05" customHeight="1" x14ac:dyDescent="0.3">
      <c r="A28" s="2" t="s">
        <v>17</v>
      </c>
      <c r="B28" s="2" t="s">
        <v>58</v>
      </c>
      <c r="C28" s="6" t="s">
        <v>110</v>
      </c>
      <c r="D28" s="3">
        <v>178</v>
      </c>
      <c r="E28" s="2">
        <v>15</v>
      </c>
    </row>
    <row r="29" spans="1:5" ht="16.05" customHeight="1" x14ac:dyDescent="0.3">
      <c r="A29" s="7" t="s">
        <v>20</v>
      </c>
      <c r="B29" s="7" t="s">
        <v>60</v>
      </c>
      <c r="C29" s="8"/>
      <c r="D29" s="9"/>
      <c r="E29" s="7"/>
    </row>
    <row r="30" spans="1:5" ht="16.05" customHeight="1" x14ac:dyDescent="0.3">
      <c r="A30" s="7" t="s">
        <v>22</v>
      </c>
      <c r="B30" s="7" t="s">
        <v>61</v>
      </c>
      <c r="C30" s="8"/>
      <c r="D30" s="9"/>
      <c r="E30" s="7"/>
    </row>
    <row r="31" spans="1:5" ht="16.05" customHeight="1" x14ac:dyDescent="0.3">
      <c r="A31" s="2" t="s">
        <v>24</v>
      </c>
      <c r="B31" s="2" t="s">
        <v>62</v>
      </c>
      <c r="C31" s="6" t="s">
        <v>111</v>
      </c>
      <c r="D31" s="3">
        <v>238</v>
      </c>
      <c r="E31" s="2">
        <v>15</v>
      </c>
    </row>
    <row r="32" spans="1:5" ht="16.05" customHeight="1" x14ac:dyDescent="0.3">
      <c r="A32" s="2" t="s">
        <v>27</v>
      </c>
      <c r="B32" s="2" t="s">
        <v>64</v>
      </c>
      <c r="C32" s="6" t="s">
        <v>112</v>
      </c>
      <c r="D32" s="3">
        <v>286</v>
      </c>
      <c r="E32" s="2">
        <v>15</v>
      </c>
    </row>
    <row r="33" spans="1:5" ht="16.05" customHeight="1" x14ac:dyDescent="0.3">
      <c r="A33" s="2" t="s">
        <v>11</v>
      </c>
      <c r="B33" s="2" t="s">
        <v>66</v>
      </c>
      <c r="C33" s="6" t="s">
        <v>113</v>
      </c>
      <c r="D33" s="3">
        <v>292</v>
      </c>
      <c r="E33" s="2">
        <v>15</v>
      </c>
    </row>
    <row r="34" spans="1:5" ht="16.05" customHeight="1" x14ac:dyDescent="0.3">
      <c r="A34" s="2" t="s">
        <v>14</v>
      </c>
      <c r="B34" s="2" t="s">
        <v>68</v>
      </c>
      <c r="C34" s="6" t="s">
        <v>114</v>
      </c>
      <c r="D34" s="3">
        <v>295</v>
      </c>
      <c r="E34" s="2">
        <v>15</v>
      </c>
    </row>
    <row r="35" spans="1:5" ht="16.05" customHeight="1" x14ac:dyDescent="0.3">
      <c r="A35" s="2" t="s">
        <v>17</v>
      </c>
      <c r="B35" s="2" t="s">
        <v>70</v>
      </c>
      <c r="C35" s="6" t="s">
        <v>115</v>
      </c>
      <c r="D35" s="3">
        <v>305</v>
      </c>
      <c r="E35" s="2">
        <v>15</v>
      </c>
    </row>
    <row r="36" spans="1:5" ht="18" customHeight="1" x14ac:dyDescent="0.3">
      <c r="A36" s="11" t="s">
        <v>72</v>
      </c>
      <c r="B36" s="12"/>
      <c r="C36" s="12"/>
      <c r="D36" s="13">
        <f>SUM(D5:D35)</f>
        <v>2559</v>
      </c>
      <c r="E36" s="13">
        <f>SUM(E5:E35)</f>
        <v>330</v>
      </c>
    </row>
    <row r="37" spans="1:5" ht="18" customHeight="1" x14ac:dyDescent="0.3">
      <c r="A37" s="14" t="s">
        <v>5</v>
      </c>
      <c r="B37" s="15"/>
      <c r="C37" s="15"/>
      <c r="D37" s="16">
        <f>D2-D36</f>
        <v>-222</v>
      </c>
      <c r="E37" s="15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workbookViewId="0">
      <selection activeCell="C41" sqref="C41"/>
    </sheetView>
  </sheetViews>
  <sheetFormatPr baseColWidth="10" defaultColWidth="8.88671875" defaultRowHeight="14.4" x14ac:dyDescent="0.3"/>
  <cols>
    <col min="1" max="1" width="12" customWidth="1"/>
    <col min="2" max="2" width="13" customWidth="1"/>
    <col min="3" max="3" width="42" customWidth="1"/>
    <col min="4" max="4" width="8" customWidth="1"/>
    <col min="5" max="5" width="16" customWidth="1"/>
  </cols>
  <sheetData>
    <row r="1" spans="1:5" ht="22.05" customHeight="1" x14ac:dyDescent="0.3">
      <c r="A1" s="17" t="s">
        <v>116</v>
      </c>
      <c r="B1" s="18"/>
      <c r="C1" s="18"/>
      <c r="D1" s="18"/>
      <c r="E1" s="18"/>
    </row>
    <row r="2" spans="1:5" ht="18" customHeight="1" x14ac:dyDescent="0.3">
      <c r="A2" s="1" t="s">
        <v>1</v>
      </c>
      <c r="B2" s="2" t="s">
        <v>2</v>
      </c>
      <c r="C2" s="1" t="s">
        <v>3</v>
      </c>
      <c r="D2" s="3">
        <v>1103</v>
      </c>
      <c r="E2" s="2"/>
    </row>
    <row r="3" spans="1:5" ht="18" customHeight="1" x14ac:dyDescent="0.3">
      <c r="A3" s="1" t="s">
        <v>4</v>
      </c>
      <c r="B3" s="3">
        <f>SUM(D5:D35)</f>
        <v>1387</v>
      </c>
      <c r="C3" s="1" t="s">
        <v>5</v>
      </c>
      <c r="D3" s="4">
        <f>D2-B3</f>
        <v>-284</v>
      </c>
      <c r="E3" s="2"/>
    </row>
    <row r="4" spans="1:5" ht="18" customHeight="1" x14ac:dyDescent="0.3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 ht="16.05" customHeight="1" x14ac:dyDescent="0.3">
      <c r="A5" s="2" t="s">
        <v>11</v>
      </c>
      <c r="B5" s="2" t="s">
        <v>12</v>
      </c>
      <c r="C5" s="19" t="s">
        <v>138</v>
      </c>
      <c r="D5" s="19">
        <v>70</v>
      </c>
      <c r="E5" s="2">
        <v>15</v>
      </c>
    </row>
    <row r="6" spans="1:5" ht="16.05" customHeight="1" x14ac:dyDescent="0.3">
      <c r="A6" s="2" t="s">
        <v>14</v>
      </c>
      <c r="B6" s="2" t="s">
        <v>15</v>
      </c>
      <c r="C6" s="19" t="s">
        <v>139</v>
      </c>
      <c r="D6" s="19">
        <v>70</v>
      </c>
      <c r="E6" s="2">
        <v>15</v>
      </c>
    </row>
    <row r="7" spans="1:5" ht="16.05" customHeight="1" x14ac:dyDescent="0.3">
      <c r="A7" s="2" t="s">
        <v>17</v>
      </c>
      <c r="B7" s="2" t="s">
        <v>18</v>
      </c>
      <c r="C7" s="19" t="s">
        <v>140</v>
      </c>
      <c r="D7" s="19">
        <v>60</v>
      </c>
      <c r="E7" s="2">
        <v>15</v>
      </c>
    </row>
    <row r="8" spans="1:5" ht="16.05" customHeight="1" x14ac:dyDescent="0.3">
      <c r="A8" s="7" t="s">
        <v>20</v>
      </c>
      <c r="B8" s="7" t="s">
        <v>21</v>
      </c>
      <c r="C8" s="8"/>
      <c r="D8" s="9"/>
      <c r="E8" s="7"/>
    </row>
    <row r="9" spans="1:5" ht="16.05" customHeight="1" x14ac:dyDescent="0.3">
      <c r="A9" s="7" t="s">
        <v>22</v>
      </c>
      <c r="B9" s="7" t="s">
        <v>23</v>
      </c>
      <c r="C9" s="8"/>
      <c r="D9" s="9"/>
      <c r="E9" s="7"/>
    </row>
    <row r="10" spans="1:5" ht="16.05" customHeight="1" x14ac:dyDescent="0.3">
      <c r="A10" s="2" t="s">
        <v>24</v>
      </c>
      <c r="B10" s="2" t="s">
        <v>25</v>
      </c>
      <c r="C10" s="19" t="s">
        <v>141</v>
      </c>
      <c r="D10" s="19">
        <v>60</v>
      </c>
      <c r="E10" s="2">
        <v>15</v>
      </c>
    </row>
    <row r="11" spans="1:5" ht="16.05" customHeight="1" x14ac:dyDescent="0.3">
      <c r="A11" s="2" t="s">
        <v>27</v>
      </c>
      <c r="B11" s="2" t="s">
        <v>28</v>
      </c>
      <c r="C11" s="19" t="s">
        <v>47</v>
      </c>
      <c r="D11" s="19">
        <v>60</v>
      </c>
      <c r="E11" s="2">
        <v>15</v>
      </c>
    </row>
    <row r="12" spans="1:5" ht="16.05" customHeight="1" x14ac:dyDescent="0.3">
      <c r="A12" s="2" t="s">
        <v>11</v>
      </c>
      <c r="B12" s="2" t="s">
        <v>30</v>
      </c>
      <c r="C12" s="19" t="s">
        <v>119</v>
      </c>
      <c r="D12" s="19">
        <v>60</v>
      </c>
      <c r="E12" s="2">
        <v>15</v>
      </c>
    </row>
    <row r="13" spans="1:5" ht="16.05" customHeight="1" x14ac:dyDescent="0.3">
      <c r="A13" s="2" t="s">
        <v>14</v>
      </c>
      <c r="B13" s="2" t="s">
        <v>32</v>
      </c>
      <c r="C13" s="19" t="s">
        <v>142</v>
      </c>
      <c r="D13" s="19">
        <v>62</v>
      </c>
      <c r="E13" s="2">
        <v>15</v>
      </c>
    </row>
    <row r="14" spans="1:5" ht="16.05" customHeight="1" x14ac:dyDescent="0.3">
      <c r="A14" s="2" t="s">
        <v>17</v>
      </c>
      <c r="B14" s="2" t="s">
        <v>34</v>
      </c>
      <c r="C14" s="19" t="s">
        <v>143</v>
      </c>
      <c r="D14" s="19">
        <v>62</v>
      </c>
      <c r="E14" s="2">
        <v>15</v>
      </c>
    </row>
    <row r="15" spans="1:5" ht="16.05" customHeight="1" x14ac:dyDescent="0.3">
      <c r="A15" s="7" t="s">
        <v>20</v>
      </c>
      <c r="B15" s="7" t="s">
        <v>36</v>
      </c>
      <c r="C15" s="8"/>
      <c r="D15" s="9"/>
      <c r="E15" s="7"/>
    </row>
    <row r="16" spans="1:5" ht="16.05" customHeight="1" x14ac:dyDescent="0.3">
      <c r="A16" s="7" t="s">
        <v>22</v>
      </c>
      <c r="B16" s="7" t="s">
        <v>37</v>
      </c>
      <c r="C16" s="8"/>
      <c r="D16" s="9"/>
      <c r="E16" s="7"/>
    </row>
    <row r="17" spans="1:5" ht="16.05" customHeight="1" x14ac:dyDescent="0.3">
      <c r="A17" s="2" t="s">
        <v>24</v>
      </c>
      <c r="B17" s="2" t="s">
        <v>38</v>
      </c>
      <c r="C17" s="19" t="s">
        <v>144</v>
      </c>
      <c r="D17" s="19">
        <v>32</v>
      </c>
      <c r="E17" s="2">
        <v>15</v>
      </c>
    </row>
    <row r="18" spans="1:5" ht="16.05" customHeight="1" x14ac:dyDescent="0.3">
      <c r="A18" s="2" t="s">
        <v>27</v>
      </c>
      <c r="B18" s="2" t="s">
        <v>40</v>
      </c>
      <c r="C18" s="19" t="s">
        <v>144</v>
      </c>
      <c r="D18" s="19">
        <v>33</v>
      </c>
      <c r="E18" s="2">
        <v>15</v>
      </c>
    </row>
    <row r="19" spans="1:5" ht="16.05" customHeight="1" x14ac:dyDescent="0.3">
      <c r="A19" s="2" t="s">
        <v>11</v>
      </c>
      <c r="B19" s="2" t="s">
        <v>42</v>
      </c>
      <c r="C19" s="19" t="s">
        <v>118</v>
      </c>
      <c r="D19" s="19">
        <v>26</v>
      </c>
      <c r="E19" s="2">
        <v>15</v>
      </c>
    </row>
    <row r="20" spans="1:5" ht="16.05" customHeight="1" x14ac:dyDescent="0.3">
      <c r="A20" s="7" t="s">
        <v>14</v>
      </c>
      <c r="B20" s="7" t="s">
        <v>44</v>
      </c>
      <c r="C20" s="10" t="s">
        <v>45</v>
      </c>
      <c r="D20" s="9"/>
      <c r="E20" s="7"/>
    </row>
    <row r="21" spans="1:5" ht="16.05" customHeight="1" x14ac:dyDescent="0.3">
      <c r="A21" s="2" t="s">
        <v>17</v>
      </c>
      <c r="B21" s="2" t="s">
        <v>46</v>
      </c>
      <c r="C21" s="19" t="s">
        <v>118</v>
      </c>
      <c r="D21" s="19">
        <v>26</v>
      </c>
      <c r="E21" s="2">
        <v>15</v>
      </c>
    </row>
    <row r="22" spans="1:5" ht="16.05" customHeight="1" x14ac:dyDescent="0.3">
      <c r="A22" s="7" t="s">
        <v>20</v>
      </c>
      <c r="B22" s="7" t="s">
        <v>48</v>
      </c>
      <c r="C22" s="8"/>
      <c r="D22" s="9"/>
      <c r="E22" s="7"/>
    </row>
    <row r="23" spans="1:5" ht="16.05" customHeight="1" x14ac:dyDescent="0.3">
      <c r="A23" s="7" t="s">
        <v>22</v>
      </c>
      <c r="B23" s="7" t="s">
        <v>49</v>
      </c>
      <c r="C23" s="8"/>
      <c r="D23" s="9"/>
      <c r="E23" s="7"/>
    </row>
    <row r="24" spans="1:5" ht="16.05" customHeight="1" x14ac:dyDescent="0.3">
      <c r="A24" s="2" t="s">
        <v>24</v>
      </c>
      <c r="B24" s="2" t="s">
        <v>50</v>
      </c>
      <c r="C24" s="19" t="s">
        <v>117</v>
      </c>
      <c r="D24" s="19">
        <v>50</v>
      </c>
      <c r="E24" s="2">
        <v>15</v>
      </c>
    </row>
    <row r="25" spans="1:5" ht="16.05" customHeight="1" x14ac:dyDescent="0.3">
      <c r="A25" s="2" t="s">
        <v>27</v>
      </c>
      <c r="B25" s="2" t="s">
        <v>52</v>
      </c>
      <c r="C25" s="19" t="s">
        <v>121</v>
      </c>
      <c r="D25" s="19">
        <v>86</v>
      </c>
      <c r="E25" s="2">
        <v>15</v>
      </c>
    </row>
    <row r="26" spans="1:5" ht="16.05" customHeight="1" x14ac:dyDescent="0.3">
      <c r="A26" s="2" t="s">
        <v>11</v>
      </c>
      <c r="B26" s="2" t="s">
        <v>54</v>
      </c>
      <c r="C26" s="19" t="s">
        <v>145</v>
      </c>
      <c r="D26" s="19">
        <v>62</v>
      </c>
      <c r="E26" s="2">
        <v>15</v>
      </c>
    </row>
    <row r="27" spans="1:5" ht="16.05" customHeight="1" x14ac:dyDescent="0.3">
      <c r="A27" s="2" t="s">
        <v>14</v>
      </c>
      <c r="B27" s="2" t="s">
        <v>56</v>
      </c>
      <c r="C27" s="19" t="s">
        <v>146</v>
      </c>
      <c r="D27" s="19">
        <v>62</v>
      </c>
      <c r="E27" s="2">
        <v>15</v>
      </c>
    </row>
    <row r="28" spans="1:5" ht="16.05" customHeight="1" x14ac:dyDescent="0.3">
      <c r="A28" s="2" t="s">
        <v>17</v>
      </c>
      <c r="B28" s="2" t="s">
        <v>58</v>
      </c>
      <c r="C28" s="19" t="s">
        <v>147</v>
      </c>
      <c r="D28" s="19">
        <v>75</v>
      </c>
      <c r="E28" s="2">
        <v>15</v>
      </c>
    </row>
    <row r="29" spans="1:5" ht="16.05" customHeight="1" x14ac:dyDescent="0.3">
      <c r="A29" s="7" t="s">
        <v>20</v>
      </c>
      <c r="B29" s="7" t="s">
        <v>60</v>
      </c>
      <c r="C29" s="8"/>
      <c r="D29" s="9"/>
      <c r="E29" s="7"/>
    </row>
    <row r="30" spans="1:5" ht="16.05" customHeight="1" x14ac:dyDescent="0.3">
      <c r="A30" s="7" t="s">
        <v>22</v>
      </c>
      <c r="B30" s="7" t="s">
        <v>61</v>
      </c>
      <c r="C30" s="8"/>
      <c r="D30" s="9"/>
      <c r="E30" s="7"/>
    </row>
    <row r="31" spans="1:5" ht="16.05" customHeight="1" x14ac:dyDescent="0.3">
      <c r="A31" s="2" t="s">
        <v>24</v>
      </c>
      <c r="B31" s="2" t="s">
        <v>62</v>
      </c>
      <c r="C31" s="19" t="s">
        <v>120</v>
      </c>
      <c r="D31" s="19">
        <v>75</v>
      </c>
      <c r="E31" s="2">
        <v>15</v>
      </c>
    </row>
    <row r="32" spans="1:5" ht="16.05" customHeight="1" x14ac:dyDescent="0.3">
      <c r="A32" s="2" t="s">
        <v>27</v>
      </c>
      <c r="B32" s="2" t="s">
        <v>64</v>
      </c>
      <c r="C32" s="19" t="s">
        <v>148</v>
      </c>
      <c r="D32" s="19">
        <v>60</v>
      </c>
      <c r="E32" s="2">
        <v>15</v>
      </c>
    </row>
    <row r="33" spans="1:5" ht="16.05" customHeight="1" x14ac:dyDescent="0.3">
      <c r="A33" s="2" t="s">
        <v>11</v>
      </c>
      <c r="B33" s="2" t="s">
        <v>66</v>
      </c>
      <c r="C33" s="19" t="s">
        <v>149</v>
      </c>
      <c r="D33" s="19">
        <v>60</v>
      </c>
      <c r="E33" s="2">
        <v>15</v>
      </c>
    </row>
    <row r="34" spans="1:5" ht="16.05" customHeight="1" x14ac:dyDescent="0.3">
      <c r="A34" s="2" t="s">
        <v>14</v>
      </c>
      <c r="B34" s="2" t="s">
        <v>68</v>
      </c>
      <c r="C34" s="19" t="s">
        <v>122</v>
      </c>
      <c r="D34" s="19">
        <v>118</v>
      </c>
      <c r="E34" s="2">
        <v>15</v>
      </c>
    </row>
    <row r="35" spans="1:5" ht="16.05" customHeight="1" x14ac:dyDescent="0.3">
      <c r="A35" s="2" t="s">
        <v>17</v>
      </c>
      <c r="B35" s="2" t="s">
        <v>70</v>
      </c>
      <c r="C35" s="19" t="s">
        <v>123</v>
      </c>
      <c r="D35" s="19">
        <v>118</v>
      </c>
      <c r="E35" s="2">
        <v>15</v>
      </c>
    </row>
    <row r="36" spans="1:5" ht="18" customHeight="1" x14ac:dyDescent="0.3">
      <c r="A36" s="11" t="s">
        <v>72</v>
      </c>
      <c r="B36" s="12"/>
      <c r="C36" s="12"/>
      <c r="D36" s="13">
        <f>SUM(D5:D35)</f>
        <v>1387</v>
      </c>
      <c r="E36" s="13">
        <f>SUM(E5:E35)</f>
        <v>330</v>
      </c>
    </row>
    <row r="37" spans="1:5" ht="18" customHeight="1" x14ac:dyDescent="0.3">
      <c r="A37" s="14" t="s">
        <v>5</v>
      </c>
      <c r="B37" s="15"/>
      <c r="C37" s="15"/>
      <c r="D37" s="16">
        <f>D2-D36</f>
        <v>-284</v>
      </c>
      <c r="E37" s="15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7"/>
  <sheetViews>
    <sheetView topLeftCell="C29" workbookViewId="0">
      <selection activeCell="C32" sqref="C32:D35"/>
    </sheetView>
  </sheetViews>
  <sheetFormatPr baseColWidth="10" defaultColWidth="8.88671875" defaultRowHeight="14.4" x14ac:dyDescent="0.3"/>
  <cols>
    <col min="1" max="1" width="12" customWidth="1"/>
    <col min="2" max="2" width="13" customWidth="1"/>
    <col min="3" max="3" width="42" customWidth="1"/>
    <col min="4" max="4" width="8" customWidth="1"/>
    <col min="5" max="5" width="16" customWidth="1"/>
  </cols>
  <sheetData>
    <row r="1" spans="1:5" ht="22.05" customHeight="1" x14ac:dyDescent="0.3">
      <c r="A1" s="17" t="s">
        <v>124</v>
      </c>
      <c r="B1" s="18"/>
      <c r="C1" s="18"/>
      <c r="D1" s="18"/>
      <c r="E1" s="18"/>
    </row>
    <row r="2" spans="1:5" ht="18" customHeight="1" x14ac:dyDescent="0.3">
      <c r="A2" s="1" t="s">
        <v>1</v>
      </c>
      <c r="B2" s="2" t="s">
        <v>2</v>
      </c>
      <c r="C2" s="1" t="s">
        <v>3</v>
      </c>
      <c r="D2" s="3">
        <v>2247</v>
      </c>
      <c r="E2" s="2"/>
    </row>
    <row r="3" spans="1:5" ht="18" customHeight="1" x14ac:dyDescent="0.3">
      <c r="A3" s="1" t="s">
        <v>4</v>
      </c>
      <c r="B3" s="3">
        <f>SUM(D5:D35)</f>
        <v>2485</v>
      </c>
      <c r="C3" s="1" t="s">
        <v>5</v>
      </c>
      <c r="D3" s="4">
        <f>D2-B3</f>
        <v>-238</v>
      </c>
      <c r="E3" s="2"/>
    </row>
    <row r="4" spans="1:5" ht="18" customHeight="1" x14ac:dyDescent="0.3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 ht="16.05" customHeight="1" x14ac:dyDescent="0.3">
      <c r="A5" s="2" t="s">
        <v>11</v>
      </c>
      <c r="B5" s="2" t="s">
        <v>12</v>
      </c>
      <c r="C5" s="20" t="s">
        <v>150</v>
      </c>
      <c r="D5" s="20">
        <v>95</v>
      </c>
      <c r="E5" s="2">
        <v>15</v>
      </c>
    </row>
    <row r="6" spans="1:5" ht="16.05" customHeight="1" x14ac:dyDescent="0.3">
      <c r="A6" s="2" t="s">
        <v>14</v>
      </c>
      <c r="B6" s="2" t="s">
        <v>15</v>
      </c>
      <c r="C6" s="20" t="s">
        <v>131</v>
      </c>
      <c r="D6" s="20">
        <v>95</v>
      </c>
      <c r="E6" s="2">
        <v>15</v>
      </c>
    </row>
    <row r="7" spans="1:5" ht="16.05" customHeight="1" x14ac:dyDescent="0.3">
      <c r="A7" s="2" t="s">
        <v>17</v>
      </c>
      <c r="B7" s="2" t="s">
        <v>18</v>
      </c>
      <c r="C7" s="20" t="s">
        <v>132</v>
      </c>
      <c r="D7" s="20">
        <v>95</v>
      </c>
      <c r="E7" s="2">
        <v>15</v>
      </c>
    </row>
    <row r="8" spans="1:5" ht="16.05" customHeight="1" x14ac:dyDescent="0.3">
      <c r="A8" s="7" t="s">
        <v>20</v>
      </c>
      <c r="B8" s="7" t="s">
        <v>21</v>
      </c>
      <c r="C8" s="8"/>
      <c r="D8" s="9"/>
      <c r="E8" s="7"/>
    </row>
    <row r="9" spans="1:5" ht="16.05" customHeight="1" x14ac:dyDescent="0.3">
      <c r="A9" s="7" t="s">
        <v>22</v>
      </c>
      <c r="B9" s="7" t="s">
        <v>23</v>
      </c>
      <c r="C9" s="8"/>
      <c r="D9" s="9"/>
      <c r="E9" s="7"/>
    </row>
    <row r="10" spans="1:5" ht="16.05" customHeight="1" x14ac:dyDescent="0.3">
      <c r="A10" s="2" t="s">
        <v>24</v>
      </c>
      <c r="B10" s="2" t="s">
        <v>25</v>
      </c>
      <c r="C10" s="20" t="s">
        <v>151</v>
      </c>
      <c r="D10" s="20">
        <v>95</v>
      </c>
      <c r="E10" s="2">
        <v>15</v>
      </c>
    </row>
    <row r="11" spans="1:5" ht="16.05" customHeight="1" x14ac:dyDescent="0.3">
      <c r="A11" s="2" t="s">
        <v>27</v>
      </c>
      <c r="B11" s="2" t="s">
        <v>28</v>
      </c>
      <c r="C11" s="20" t="s">
        <v>152</v>
      </c>
      <c r="D11" s="20">
        <v>90</v>
      </c>
      <c r="E11" s="2">
        <v>15</v>
      </c>
    </row>
    <row r="12" spans="1:5" ht="16.05" customHeight="1" x14ac:dyDescent="0.3">
      <c r="A12" s="2" t="s">
        <v>11</v>
      </c>
      <c r="B12" s="2" t="s">
        <v>30</v>
      </c>
      <c r="C12" s="20" t="s">
        <v>51</v>
      </c>
      <c r="D12" s="20">
        <v>90</v>
      </c>
      <c r="E12" s="2">
        <v>15</v>
      </c>
    </row>
    <row r="13" spans="1:5" ht="16.05" customHeight="1" x14ac:dyDescent="0.3">
      <c r="A13" s="2" t="s">
        <v>14</v>
      </c>
      <c r="B13" s="2" t="s">
        <v>32</v>
      </c>
      <c r="C13" s="20" t="s">
        <v>133</v>
      </c>
      <c r="D13" s="20">
        <v>145</v>
      </c>
      <c r="E13" s="2">
        <v>15</v>
      </c>
    </row>
    <row r="14" spans="1:5" ht="16.05" customHeight="1" x14ac:dyDescent="0.3">
      <c r="A14" s="2" t="s">
        <v>17</v>
      </c>
      <c r="B14" s="2" t="s">
        <v>34</v>
      </c>
      <c r="C14" s="20" t="s">
        <v>134</v>
      </c>
      <c r="D14" s="20">
        <v>145</v>
      </c>
      <c r="E14" s="2">
        <v>15</v>
      </c>
    </row>
    <row r="15" spans="1:5" ht="16.05" customHeight="1" x14ac:dyDescent="0.3">
      <c r="A15" s="7" t="s">
        <v>20</v>
      </c>
      <c r="B15" s="7" t="s">
        <v>36</v>
      </c>
      <c r="C15" s="8"/>
      <c r="D15" s="9"/>
      <c r="E15" s="7"/>
    </row>
    <row r="16" spans="1:5" ht="16.05" customHeight="1" x14ac:dyDescent="0.3">
      <c r="A16" s="7" t="s">
        <v>22</v>
      </c>
      <c r="B16" s="7" t="s">
        <v>37</v>
      </c>
      <c r="C16" s="8"/>
      <c r="D16" s="9"/>
      <c r="E16" s="7"/>
    </row>
    <row r="17" spans="1:5" ht="16.05" customHeight="1" x14ac:dyDescent="0.3">
      <c r="A17" s="2" t="s">
        <v>24</v>
      </c>
      <c r="B17" s="2" t="s">
        <v>38</v>
      </c>
      <c r="C17" s="20" t="s">
        <v>135</v>
      </c>
      <c r="D17" s="20">
        <v>160</v>
      </c>
      <c r="E17" s="2">
        <v>15</v>
      </c>
    </row>
    <row r="18" spans="1:5" ht="16.05" customHeight="1" x14ac:dyDescent="0.3">
      <c r="A18" s="2" t="s">
        <v>27</v>
      </c>
      <c r="B18" s="2" t="s">
        <v>40</v>
      </c>
      <c r="C18" s="20" t="s">
        <v>136</v>
      </c>
      <c r="D18" s="20">
        <v>160</v>
      </c>
      <c r="E18" s="2">
        <v>15</v>
      </c>
    </row>
    <row r="19" spans="1:5" ht="16.05" customHeight="1" x14ac:dyDescent="0.3">
      <c r="A19" s="2" t="s">
        <v>11</v>
      </c>
      <c r="B19" s="2" t="s">
        <v>42</v>
      </c>
      <c r="C19" s="20" t="s">
        <v>153</v>
      </c>
      <c r="D19" s="20">
        <v>275</v>
      </c>
      <c r="E19" s="2">
        <v>15</v>
      </c>
    </row>
    <row r="20" spans="1:5" ht="16.05" customHeight="1" x14ac:dyDescent="0.3">
      <c r="A20" s="7" t="s">
        <v>14</v>
      </c>
      <c r="B20" s="7" t="s">
        <v>44</v>
      </c>
      <c r="C20" s="10" t="s">
        <v>45</v>
      </c>
      <c r="D20" s="9"/>
      <c r="E20" s="7"/>
    </row>
    <row r="21" spans="1:5" ht="16.05" customHeight="1" x14ac:dyDescent="0.3">
      <c r="A21" s="2" t="s">
        <v>17</v>
      </c>
      <c r="B21" s="2" t="s">
        <v>46</v>
      </c>
      <c r="C21" s="20" t="s">
        <v>154</v>
      </c>
      <c r="D21" s="20">
        <v>275</v>
      </c>
      <c r="E21" s="2">
        <v>15</v>
      </c>
    </row>
    <row r="22" spans="1:5" ht="16.05" customHeight="1" x14ac:dyDescent="0.3">
      <c r="A22" s="7" t="s">
        <v>20</v>
      </c>
      <c r="B22" s="7" t="s">
        <v>48</v>
      </c>
      <c r="C22" s="8"/>
      <c r="D22" s="9"/>
      <c r="E22" s="7"/>
    </row>
    <row r="23" spans="1:5" ht="16.05" customHeight="1" x14ac:dyDescent="0.3">
      <c r="A23" s="7" t="s">
        <v>22</v>
      </c>
      <c r="B23" s="7" t="s">
        <v>49</v>
      </c>
      <c r="C23" s="8"/>
      <c r="D23" s="9"/>
      <c r="E23" s="7"/>
    </row>
    <row r="24" spans="1:5" ht="16.05" customHeight="1" x14ac:dyDescent="0.3">
      <c r="A24" s="2" t="s">
        <v>24</v>
      </c>
      <c r="B24" s="2" t="s">
        <v>50</v>
      </c>
      <c r="C24" s="20" t="s">
        <v>137</v>
      </c>
      <c r="D24" s="20">
        <v>170</v>
      </c>
      <c r="E24" s="2">
        <v>15</v>
      </c>
    </row>
    <row r="25" spans="1:5" ht="16.05" customHeight="1" x14ac:dyDescent="0.3">
      <c r="A25" s="2" t="s">
        <v>27</v>
      </c>
      <c r="B25" s="2" t="s">
        <v>52</v>
      </c>
      <c r="C25" s="20" t="s">
        <v>125</v>
      </c>
      <c r="D25" s="20">
        <v>65</v>
      </c>
      <c r="E25" s="2">
        <v>15</v>
      </c>
    </row>
    <row r="26" spans="1:5" ht="16.05" customHeight="1" x14ac:dyDescent="0.3">
      <c r="A26" s="2" t="s">
        <v>11</v>
      </c>
      <c r="B26" s="2" t="s">
        <v>54</v>
      </c>
      <c r="C26" s="20" t="s">
        <v>126</v>
      </c>
      <c r="D26" s="20">
        <v>65</v>
      </c>
      <c r="E26" s="2">
        <v>15</v>
      </c>
    </row>
    <row r="27" spans="1:5" ht="16.05" customHeight="1" x14ac:dyDescent="0.3">
      <c r="A27" s="2" t="s">
        <v>14</v>
      </c>
      <c r="B27" s="2" t="s">
        <v>56</v>
      </c>
      <c r="C27" s="20" t="s">
        <v>129</v>
      </c>
      <c r="D27" s="20">
        <v>70</v>
      </c>
      <c r="E27" s="2">
        <v>15</v>
      </c>
    </row>
    <row r="28" spans="1:5" ht="16.05" customHeight="1" x14ac:dyDescent="0.3">
      <c r="A28" s="2" t="s">
        <v>17</v>
      </c>
      <c r="B28" s="2" t="s">
        <v>58</v>
      </c>
      <c r="C28" s="20" t="s">
        <v>130</v>
      </c>
      <c r="D28" s="20">
        <v>70</v>
      </c>
      <c r="E28" s="2">
        <v>15</v>
      </c>
    </row>
    <row r="29" spans="1:5" ht="16.05" customHeight="1" x14ac:dyDescent="0.3">
      <c r="A29" s="7" t="s">
        <v>20</v>
      </c>
      <c r="B29" s="7" t="s">
        <v>60</v>
      </c>
      <c r="C29" s="8"/>
      <c r="D29" s="9"/>
      <c r="E29" s="7"/>
    </row>
    <row r="30" spans="1:5" ht="16.05" customHeight="1" x14ac:dyDescent="0.3">
      <c r="A30" s="7" t="s">
        <v>22</v>
      </c>
      <c r="B30" s="7" t="s">
        <v>61</v>
      </c>
      <c r="C30" s="8"/>
      <c r="D30" s="9"/>
      <c r="E30" s="7"/>
    </row>
    <row r="31" spans="1:5" ht="16.05" customHeight="1" x14ac:dyDescent="0.3">
      <c r="A31" s="2" t="s">
        <v>24</v>
      </c>
      <c r="B31" s="2" t="s">
        <v>62</v>
      </c>
      <c r="C31" s="20" t="s">
        <v>155</v>
      </c>
      <c r="D31" s="20">
        <v>75</v>
      </c>
      <c r="E31" s="2">
        <v>15</v>
      </c>
    </row>
    <row r="32" spans="1:5" ht="16.05" customHeight="1" x14ac:dyDescent="0.3">
      <c r="A32" s="2" t="s">
        <v>27</v>
      </c>
      <c r="B32" s="2" t="s">
        <v>64</v>
      </c>
      <c r="C32" s="20" t="s">
        <v>127</v>
      </c>
      <c r="D32" s="20">
        <v>65</v>
      </c>
      <c r="E32" s="2">
        <v>15</v>
      </c>
    </row>
    <row r="33" spans="1:5" ht="16.05" customHeight="1" x14ac:dyDescent="0.3">
      <c r="A33" s="2" t="s">
        <v>11</v>
      </c>
      <c r="B33" s="2" t="s">
        <v>66</v>
      </c>
      <c r="C33" s="20" t="s">
        <v>128</v>
      </c>
      <c r="D33" s="20">
        <v>65</v>
      </c>
      <c r="E33" s="2">
        <v>15</v>
      </c>
    </row>
    <row r="34" spans="1:5" ht="16.05" customHeight="1" x14ac:dyDescent="0.3">
      <c r="A34" s="2" t="s">
        <v>14</v>
      </c>
      <c r="B34" s="2" t="s">
        <v>68</v>
      </c>
      <c r="C34" s="20" t="s">
        <v>156</v>
      </c>
      <c r="D34" s="20">
        <v>60</v>
      </c>
      <c r="E34" s="2">
        <v>15</v>
      </c>
    </row>
    <row r="35" spans="1:5" ht="16.05" customHeight="1" x14ac:dyDescent="0.3">
      <c r="A35" s="2" t="s">
        <v>17</v>
      </c>
      <c r="B35" s="2" t="s">
        <v>70</v>
      </c>
      <c r="C35" s="20" t="s">
        <v>75</v>
      </c>
      <c r="D35" s="20">
        <v>60</v>
      </c>
      <c r="E35" s="2">
        <v>15</v>
      </c>
    </row>
    <row r="36" spans="1:5" ht="18" customHeight="1" x14ac:dyDescent="0.3">
      <c r="A36" s="11" t="s">
        <v>72</v>
      </c>
      <c r="B36" s="12"/>
      <c r="C36" s="12"/>
      <c r="D36" s="13">
        <f>SUM(D5:D35)</f>
        <v>2485</v>
      </c>
      <c r="E36" s="13">
        <f>SUM(E5:E35)</f>
        <v>330</v>
      </c>
    </row>
    <row r="37" spans="1:5" ht="18" customHeight="1" x14ac:dyDescent="0.3">
      <c r="A37" s="14" t="s">
        <v>5</v>
      </c>
      <c r="B37" s="15"/>
      <c r="C37" s="15"/>
      <c r="D37" s="16">
        <f>D2-D36</f>
        <v>-238</v>
      </c>
      <c r="E37" s="15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Carlos Acevedo</vt:lpstr>
      <vt:lpstr>Samuel Inostroza</vt:lpstr>
      <vt:lpstr>Cristian Lizama</vt:lpstr>
      <vt:lpstr>Pablo Villarroel</vt:lpstr>
      <vt:lpstr>Mauricio Picart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Valery Chaparro Navarro</cp:lastModifiedBy>
  <dcterms:created xsi:type="dcterms:W3CDTF">2026-06-30T15:27:26Z</dcterms:created>
  <dcterms:modified xsi:type="dcterms:W3CDTF">2026-06-30T16:23:07Z</dcterms:modified>
</cp:coreProperties>
</file>