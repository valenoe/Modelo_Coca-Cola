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21a9f4b43e5a8f6f/Desktop/Descargas de OneDrive Online/Auditores/"/>
    </mc:Choice>
  </mc:AlternateContent>
  <xr:revisionPtr revIDLastSave="20" documentId="8_{610A6F21-6555-4268-8218-F4839999C5E1}" xr6:coauthVersionLast="47" xr6:coauthVersionMax="47" xr10:uidLastSave="{06E9921D-6CDE-413D-89DC-F8E5EAA304A5}"/>
  <bookViews>
    <workbookView xWindow="-120" yWindow="-120" windowWidth="20730" windowHeight="11040" xr2:uid="{00000000-000D-0000-FFFF-FFFF00000000}"/>
  </bookViews>
  <sheets>
    <sheet name="Carlos Acevedo" sheetId="1" r:id="rId1"/>
    <sheet name="Samuel Inostroza" sheetId="2" r:id="rId2"/>
    <sheet name="Cristian Lizama" sheetId="3" r:id="rId3"/>
    <sheet name="Pablo Villarroel" sheetId="6" r:id="rId4"/>
    <sheet name="Mauricio Picart" sheetId="7" r:id="rId5"/>
  </sheets>
  <calcPr calcId="191029"/>
</workbook>
</file>

<file path=xl/calcChain.xml><?xml version="1.0" encoding="utf-8"?>
<calcChain xmlns="http://schemas.openxmlformats.org/spreadsheetml/2006/main">
  <c r="D39" i="1" l="1"/>
  <c r="E35" i="7"/>
  <c r="D35" i="7"/>
  <c r="D36" i="7" s="1"/>
  <c r="B3" i="7"/>
  <c r="D3" i="7" s="1"/>
  <c r="B3" i="6"/>
  <c r="D3" i="6" s="1"/>
  <c r="D35" i="6"/>
  <c r="D36" i="6" s="1"/>
  <c r="E35" i="6"/>
  <c r="E35" i="3"/>
  <c r="D35" i="3"/>
  <c r="D36" i="3" s="1"/>
  <c r="B3" i="3"/>
  <c r="D3" i="3" s="1"/>
  <c r="E35" i="2"/>
  <c r="D35" i="2"/>
  <c r="D36" i="2" s="1"/>
  <c r="B3" i="2"/>
  <c r="D3" i="2" s="1"/>
  <c r="E35" i="1"/>
  <c r="D35" i="1"/>
  <c r="D36" i="1" s="1"/>
  <c r="D3" i="1"/>
  <c r="B3" i="1"/>
</calcChain>
</file>

<file path=xl/sharedStrings.xml><?xml version="1.0" encoding="utf-8"?>
<sst xmlns="http://schemas.openxmlformats.org/spreadsheetml/2006/main" count="417" uniqueCount="161">
  <si>
    <t>Planificacion mensual - Carlos Acevedo</t>
  </si>
  <si>
    <t>Periodo</t>
  </si>
  <si>
    <t>Junio</t>
  </si>
  <si>
    <t>Tope mensual km</t>
  </si>
  <si>
    <t>Km planificados</t>
  </si>
  <si>
    <t>Km disponibles</t>
  </si>
  <si>
    <t>Dia</t>
  </si>
  <si>
    <t>Fecha</t>
  </si>
  <si>
    <t>Ruta</t>
  </si>
  <si>
    <t>KLM</t>
  </si>
  <si>
    <t>Clientes (Minimos)</t>
  </si>
  <si>
    <t>Lunes</t>
  </si>
  <si>
    <t>01-06-2026</t>
  </si>
  <si>
    <t>Faustino Gonzalez</t>
  </si>
  <si>
    <t>Martes</t>
  </si>
  <si>
    <t>02-06-2026</t>
  </si>
  <si>
    <t>Los Conquistadores</t>
  </si>
  <si>
    <t>Miercoles</t>
  </si>
  <si>
    <t>03-06-2026</t>
  </si>
  <si>
    <t>Universidad de Talca</t>
  </si>
  <si>
    <t>Jueves</t>
  </si>
  <si>
    <t>04-06-2026</t>
  </si>
  <si>
    <t>Avenida Lircay</t>
  </si>
  <si>
    <t>Viernes</t>
  </si>
  <si>
    <t>05-06-2026</t>
  </si>
  <si>
    <t>Nueva Holanda</t>
  </si>
  <si>
    <t>Sabado</t>
  </si>
  <si>
    <t>06-06-2026</t>
  </si>
  <si>
    <t>Domingo</t>
  </si>
  <si>
    <t>07-06-2026</t>
  </si>
  <si>
    <t>08-06-2026</t>
  </si>
  <si>
    <t>Mall Plaza Talca</t>
  </si>
  <si>
    <t>09-06-2026</t>
  </si>
  <si>
    <t>Mercado Central</t>
  </si>
  <si>
    <t>10-06-2026</t>
  </si>
  <si>
    <t>Cooperativa Lircay</t>
  </si>
  <si>
    <t>11-06-2026</t>
  </si>
  <si>
    <t>San Miguel del Piduco</t>
  </si>
  <si>
    <t>12-06-2026</t>
  </si>
  <si>
    <t>Talca Centro</t>
  </si>
  <si>
    <t>13-06-2026</t>
  </si>
  <si>
    <t>14-06-2026</t>
  </si>
  <si>
    <t>15-06-2026</t>
  </si>
  <si>
    <t>Centro Oriente</t>
  </si>
  <si>
    <t>16-06-2026</t>
  </si>
  <si>
    <t>Abate Molina Sur</t>
  </si>
  <si>
    <t>17-06-2026</t>
  </si>
  <si>
    <t>Barrio Norte</t>
  </si>
  <si>
    <t>18-06-2026</t>
  </si>
  <si>
    <t>Santa Ana Crea</t>
  </si>
  <si>
    <t>19-06-2026</t>
  </si>
  <si>
    <t>Supermercados Talca</t>
  </si>
  <si>
    <t>20-06-2026</t>
  </si>
  <si>
    <t>21-06-2026</t>
  </si>
  <si>
    <t>22-06-2026</t>
  </si>
  <si>
    <t>San Clemente</t>
  </si>
  <si>
    <t>23-06-2026</t>
  </si>
  <si>
    <t>Chile Nuevo</t>
  </si>
  <si>
    <t>24-06-2026</t>
  </si>
  <si>
    <t>Cancha Carreras</t>
  </si>
  <si>
    <t>25-06-2026</t>
  </si>
  <si>
    <t>Orilla de Maule</t>
  </si>
  <si>
    <t>26-06-2026</t>
  </si>
  <si>
    <t>Linares Centro</t>
  </si>
  <si>
    <t>27-06-2026</t>
  </si>
  <si>
    <t>28-06-2026</t>
  </si>
  <si>
    <t>29-06-2026</t>
  </si>
  <si>
    <t>Feriado</t>
  </si>
  <si>
    <t>30-06-2026</t>
  </si>
  <si>
    <t>Linares Centro Oriente</t>
  </si>
  <si>
    <t>Total mensual</t>
  </si>
  <si>
    <t>Planificacion mensual - Samuel Inostroza</t>
  </si>
  <si>
    <t>Centro Plaza</t>
  </si>
  <si>
    <t>Centro Norte</t>
  </si>
  <si>
    <t>Feria - Mall - Terminal</t>
  </si>
  <si>
    <t>El Boldo</t>
  </si>
  <si>
    <t>Aguas Negras</t>
  </si>
  <si>
    <t>Guaiquillo - Aguas Negras</t>
  </si>
  <si>
    <t>Hospital - Alameda - Mataquito</t>
  </si>
  <si>
    <t>Santa Fe</t>
  </si>
  <si>
    <t>Santa Lucia - Santos Martínez</t>
  </si>
  <si>
    <t>Bombero Garrido - Vaticano</t>
  </si>
  <si>
    <t>Sarmiento - Rauquen</t>
  </si>
  <si>
    <t>Bombero Garrido - Tutuquen</t>
  </si>
  <si>
    <t>Carretera Rauquen - Avda. España</t>
  </si>
  <si>
    <t>Lontue - Pichingal - Casa Blanca</t>
  </si>
  <si>
    <t>Los Niches</t>
  </si>
  <si>
    <t>Villa Prat - Sagrada Familia</t>
  </si>
  <si>
    <t>La Montaña - Teno - Viluco</t>
  </si>
  <si>
    <t>Hualañe</t>
  </si>
  <si>
    <t>Licantén</t>
  </si>
  <si>
    <t>Lora - Curepto</t>
  </si>
  <si>
    <t>Curepto</t>
  </si>
  <si>
    <t>Planificacion mensual - Cristian Lizama</t>
  </si>
  <si>
    <t>SAN FDO. - MANSO DE VELASCO</t>
  </si>
  <si>
    <t>SAN FDO. TERMINAL</t>
  </si>
  <si>
    <t>SAN FDO. CENTRO - PLAZA</t>
  </si>
  <si>
    <t>SAN FDO, - GABRIELA MISTRAL</t>
  </si>
  <si>
    <t>SAN FDO. - INDEPENDENCIA</t>
  </si>
  <si>
    <t>SAN FDO. - NOR PONIENTE</t>
  </si>
  <si>
    <t>STA CRUZ TERMINAL</t>
  </si>
  <si>
    <t>VILLA ALEGRE - LA TUNA</t>
  </si>
  <si>
    <t>CHIMBARONGO  CENTRO</t>
  </si>
  <si>
    <t>CHIMBARONGO CENTRO PTE.</t>
  </si>
  <si>
    <t>PLACILLA</t>
  </si>
  <si>
    <t>NANCAGUA -CENTRO</t>
  </si>
  <si>
    <t>NANCAGUA - SAN GREGORIO</t>
  </si>
  <si>
    <t>ROMERAL - SAN JUAN - TINGURIRICA</t>
  </si>
  <si>
    <t>APALTA - PANIAHUE</t>
  </si>
  <si>
    <t>PERALILLO</t>
  </si>
  <si>
    <t>LOLOL - LA LAJUELA</t>
  </si>
  <si>
    <t>MARCGIHUE</t>
  </si>
  <si>
    <t>PAREDONES - LOLOL</t>
  </si>
  <si>
    <t>PICHILEMU -ALCONES</t>
  </si>
  <si>
    <t>PICHILEMU - CENTRO</t>
  </si>
  <si>
    <t>Villa la Paz</t>
  </si>
  <si>
    <t>Cancha Rayada</t>
  </si>
  <si>
    <t>Don Sebastian</t>
  </si>
  <si>
    <t>Don Arturo</t>
  </si>
  <si>
    <t>Rembrand</t>
  </si>
  <si>
    <t>B. Oriente - Hospital</t>
  </si>
  <si>
    <t>Parque Industrial</t>
  </si>
  <si>
    <t>Alameda Sur</t>
  </si>
  <si>
    <t>Galilea - Doña Ignacia</t>
  </si>
  <si>
    <t>Doña Ignacia - Villa Ecuador</t>
  </si>
  <si>
    <t>San Luis</t>
  </si>
  <si>
    <t>J. Flor del Este</t>
  </si>
  <si>
    <t>Carlos Trupp</t>
  </si>
  <si>
    <t>Jardin del Valle</t>
  </si>
  <si>
    <t>Magisterio</t>
  </si>
  <si>
    <t>Centro Poniente</t>
  </si>
  <si>
    <t>Santa Teresita Colin</t>
  </si>
  <si>
    <t>Culenar</t>
  </si>
  <si>
    <t>Las Rastras</t>
  </si>
  <si>
    <t>Camino San Clemente</t>
  </si>
  <si>
    <t>Linares: Nemecio Antunes</t>
  </si>
  <si>
    <t>Linares: Oriente</t>
  </si>
  <si>
    <t>Linares: Melozal</t>
  </si>
  <si>
    <t>Villa Alegre</t>
  </si>
  <si>
    <t>Linares: Salida Cuellar centro sur</t>
  </si>
  <si>
    <t>Linares: San Antonio</t>
  </si>
  <si>
    <t>Linares: Pob. La 35</t>
  </si>
  <si>
    <t>Sábado</t>
  </si>
  <si>
    <t>Linares: Palmilla, La Obra</t>
  </si>
  <si>
    <t>Miércoles</t>
  </si>
  <si>
    <t>Estación</t>
  </si>
  <si>
    <t>Balmaceda</t>
  </si>
  <si>
    <t>Linares: El Esfuerzo, Los Castaños</t>
  </si>
  <si>
    <t>Panguilemo</t>
  </si>
  <si>
    <t>Pelarco</t>
  </si>
  <si>
    <t>El Tabaco</t>
  </si>
  <si>
    <t>Brilla el Sol, Daniel Rebolledo</t>
  </si>
  <si>
    <t>Día</t>
  </si>
  <si>
    <t>Planificación mensual - Mauricio Picart</t>
  </si>
  <si>
    <t>Villa Eden - Independencia</t>
  </si>
  <si>
    <t>Doña Consuelo</t>
  </si>
  <si>
    <t>San Maximo</t>
  </si>
  <si>
    <t>El Colorado</t>
  </si>
  <si>
    <t>Camarico</t>
  </si>
  <si>
    <t>Compra de Muestras JUN'26</t>
  </si>
  <si>
    <t>TOTAL MENSUAL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</si>
</sst>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14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b/>
      <sz val="10"/>
      <color rgb="FFFFFFFF"/>
      <name val="Arial"/>
      <family val="2"/>
    </font>
    <font>
      <sz val="10"/>
      <color rgb="FF888888"/>
      <name val="Arial"/>
      <family val="2"/>
    </font>
    <font>
      <b/>
      <sz val="10"/>
      <color rgb="FFFF0000"/>
      <name val="Arial"/>
      <family val="2"/>
    </font>
    <font>
      <sz val="11"/>
      <name val="Carlito"/>
    </font>
    <font>
      <b/>
      <sz val="10"/>
      <name val="Calibri"/>
      <family val="2"/>
    </font>
    <font>
      <sz val="10"/>
      <name val="Calibri"/>
      <family val="2"/>
    </font>
    <font>
      <b/>
      <sz val="11"/>
      <color theme="1"/>
      <name val="Cambria"/>
      <family val="2"/>
      <scheme val="major"/>
    </font>
    <font>
      <b/>
      <sz val="15"/>
      <color rgb="FF1F2937"/>
      <name val="Calibri"/>
      <family val="2"/>
    </font>
    <font>
      <b/>
      <sz val="11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70AD47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rgb="FFD9D9D9"/>
      </patternFill>
    </fill>
    <fill>
      <patternFill patternType="solid">
        <fgColor rgb="FFF8FAFC"/>
      </patternFill>
    </fill>
    <fill>
      <patternFill patternType="solid">
        <fgColor theme="2"/>
        <bgColor indexed="64"/>
      </patternFill>
    </fill>
    <fill>
      <patternFill patternType="solid">
        <fgColor rgb="FFDDEBF7"/>
      </patternFill>
    </fill>
    <fill>
      <patternFill patternType="solid">
        <fgColor rgb="FFEAF2F8"/>
      </patternFill>
    </fill>
    <fill>
      <patternFill patternType="solid">
        <fgColor rgb="FF002060"/>
        <bgColor indexed="64"/>
      </patternFill>
    </fill>
  </fills>
  <borders count="16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 style="thin">
        <color rgb="FFD1D5DB"/>
      </right>
      <top/>
      <bottom style="thin">
        <color rgb="FFD1D5DB"/>
      </bottom>
      <diagonal/>
    </border>
    <border>
      <left/>
      <right/>
      <top/>
      <bottom style="thin">
        <color rgb="FFD1D5DB"/>
      </bottom>
      <diagonal/>
    </border>
    <border>
      <left style="thin">
        <color rgb="FFD1D5DB"/>
      </left>
      <right/>
      <top/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/>
      <diagonal/>
    </border>
    <border>
      <left/>
      <right/>
      <top style="thin">
        <color rgb="FFD1D5DB"/>
      </top>
      <bottom/>
      <diagonal/>
    </border>
    <border>
      <left style="thin">
        <color rgb="FFD1D5DB"/>
      </left>
      <right/>
      <top style="thin">
        <color rgb="FFD1D5DB"/>
      </top>
      <bottom/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8" fillId="0" borderId="0"/>
  </cellStyleXfs>
  <cellXfs count="52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3" fontId="3" fillId="4" borderId="1" xfId="0" applyNumberFormat="1" applyFont="1" applyFill="1" applyBorder="1" applyAlignment="1">
      <alignment horizontal="center" vertical="center"/>
    </xf>
    <xf numFmtId="3" fontId="4" fillId="5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3" fontId="3" fillId="6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3" fontId="7" fillId="5" borderId="1" xfId="0" applyNumberFormat="1" applyFont="1" applyFill="1" applyBorder="1" applyAlignment="1">
      <alignment horizontal="center" vertical="center"/>
    </xf>
    <xf numFmtId="0" fontId="8" fillId="0" borderId="0" xfId="1"/>
    <xf numFmtId="0" fontId="9" fillId="7" borderId="2" xfId="1" applyFont="1" applyFill="1" applyBorder="1" applyAlignment="1">
      <alignment horizontal="center" vertical="center"/>
    </xf>
    <xf numFmtId="1" fontId="9" fillId="7" borderId="2" xfId="1" applyNumberFormat="1" applyFont="1" applyFill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164" fontId="10" fillId="0" borderId="3" xfId="1" applyNumberFormat="1" applyFont="1" applyBorder="1" applyAlignment="1">
      <alignment horizontal="center" vertical="center"/>
    </xf>
    <xf numFmtId="0" fontId="8" fillId="0" borderId="0" xfId="1" applyAlignment="1">
      <alignment horizontal="center"/>
    </xf>
    <xf numFmtId="0" fontId="10" fillId="8" borderId="3" xfId="1" applyFont="1" applyFill="1" applyBorder="1" applyAlignment="1">
      <alignment horizontal="center" vertical="center"/>
    </xf>
    <xf numFmtId="1" fontId="10" fillId="8" borderId="3" xfId="1" applyNumberFormat="1" applyFont="1" applyFill="1" applyBorder="1" applyAlignment="1">
      <alignment horizontal="center" vertical="center"/>
    </xf>
    <xf numFmtId="164" fontId="10" fillId="8" borderId="3" xfId="1" applyNumberFormat="1" applyFont="1" applyFill="1" applyBorder="1" applyAlignment="1">
      <alignment horizontal="center" vertical="center"/>
    </xf>
    <xf numFmtId="0" fontId="9" fillId="9" borderId="4" xfId="1" applyFont="1" applyFill="1" applyBorder="1" applyAlignment="1">
      <alignment horizontal="center" vertical="center"/>
    </xf>
    <xf numFmtId="1" fontId="9" fillId="9" borderId="4" xfId="1" applyNumberFormat="1" applyFont="1" applyFill="1" applyBorder="1" applyAlignment="1">
      <alignment horizontal="center" vertical="center"/>
    </xf>
    <xf numFmtId="0" fontId="9" fillId="7" borderId="5" xfId="1" applyFont="1" applyFill="1" applyBorder="1" applyAlignment="1">
      <alignment horizontal="center" vertical="center"/>
    </xf>
    <xf numFmtId="1" fontId="9" fillId="7" borderId="6" xfId="1" applyNumberFormat="1" applyFont="1" applyFill="1" applyBorder="1" applyAlignment="1">
      <alignment horizontal="center" vertical="center"/>
    </xf>
    <xf numFmtId="0" fontId="9" fillId="7" borderId="6" xfId="1" applyFont="1" applyFill="1" applyBorder="1" applyAlignment="1">
      <alignment horizontal="center" vertical="center"/>
    </xf>
    <xf numFmtId="0" fontId="9" fillId="7" borderId="7" xfId="1" applyFont="1" applyFill="1" applyBorder="1" applyAlignment="1">
      <alignment horizontal="center" vertical="center"/>
    </xf>
    <xf numFmtId="0" fontId="9" fillId="7" borderId="8" xfId="1" applyFont="1" applyFill="1" applyBorder="1" applyAlignment="1">
      <alignment horizontal="center" vertical="center"/>
    </xf>
    <xf numFmtId="1" fontId="9" fillId="7" borderId="9" xfId="1" applyNumberFormat="1" applyFont="1" applyFill="1" applyBorder="1" applyAlignment="1">
      <alignment horizontal="center" vertical="center"/>
    </xf>
    <xf numFmtId="0" fontId="9" fillId="7" borderId="9" xfId="1" applyFont="1" applyFill="1" applyBorder="1" applyAlignment="1">
      <alignment horizontal="center" vertical="center"/>
    </xf>
    <xf numFmtId="0" fontId="9" fillId="7" borderId="10" xfId="1" applyFont="1" applyFill="1" applyBorder="1" applyAlignment="1">
      <alignment horizontal="center" vertical="center"/>
    </xf>
    <xf numFmtId="0" fontId="11" fillId="0" borderId="0" xfId="1" applyFont="1"/>
    <xf numFmtId="0" fontId="11" fillId="0" borderId="0" xfId="1" applyFont="1" applyAlignment="1">
      <alignment horizontal="center"/>
    </xf>
    <xf numFmtId="164" fontId="10" fillId="8" borderId="11" xfId="1" applyNumberFormat="1" applyFont="1" applyFill="1" applyBorder="1" applyAlignment="1">
      <alignment horizontal="center" vertical="center"/>
    </xf>
    <xf numFmtId="0" fontId="10" fillId="8" borderId="12" xfId="1" applyFont="1" applyFill="1" applyBorder="1" applyAlignment="1">
      <alignment horizontal="center" vertical="center"/>
    </xf>
    <xf numFmtId="1" fontId="10" fillId="8" borderId="12" xfId="1" applyNumberFormat="1" applyFont="1" applyFill="1" applyBorder="1" applyAlignment="1">
      <alignment horizontal="center" vertical="center"/>
    </xf>
    <xf numFmtId="0" fontId="10" fillId="0" borderId="13" xfId="1" applyFont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3" fontId="3" fillId="8" borderId="0" xfId="0" applyNumberFormat="1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12" fillId="10" borderId="0" xfId="1" applyFont="1" applyFill="1" applyAlignment="1">
      <alignment horizontal="center" vertical="center"/>
    </xf>
    <xf numFmtId="3" fontId="0" fillId="0" borderId="0" xfId="0" applyNumberFormat="1"/>
    <xf numFmtId="0" fontId="13" fillId="11" borderId="14" xfId="0" applyFont="1" applyFill="1" applyBorder="1" applyAlignment="1">
      <alignment horizontal="right"/>
    </xf>
    <xf numFmtId="3" fontId="13" fillId="11" borderId="15" xfId="0" applyNumberFormat="1" applyFont="1" applyFill="1" applyBorder="1"/>
    <xf numFmtId="3" fontId="3" fillId="3" borderId="1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BCBB9461-8B52-43C9-8814-6E1B29144F6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topLeftCell="A23" workbookViewId="0">
      <selection activeCell="D39" sqref="D39"/>
    </sheetView>
  </sheetViews>
  <sheetFormatPr baseColWidth="10" defaultColWidth="8.85546875" defaultRowHeight="15"/>
  <cols>
    <col min="1" max="1" width="14.7109375" bestFit="1" customWidth="1"/>
    <col min="2" max="2" width="13" customWidth="1"/>
    <col min="3" max="3" width="42" customWidth="1"/>
    <col min="4" max="4" width="8" customWidth="1"/>
    <col min="5" max="5" width="16" customWidth="1"/>
  </cols>
  <sheetData>
    <row r="1" spans="1:5" ht="22.15" customHeight="1">
      <c r="A1" s="45" t="s">
        <v>0</v>
      </c>
      <c r="B1" s="46"/>
      <c r="C1" s="46"/>
      <c r="D1" s="46"/>
      <c r="E1" s="46"/>
    </row>
    <row r="2" spans="1:5" ht="18" customHeight="1">
      <c r="A2" s="1" t="s">
        <v>1</v>
      </c>
      <c r="B2" s="2" t="s">
        <v>2</v>
      </c>
      <c r="C2" s="1" t="s">
        <v>3</v>
      </c>
      <c r="D2" s="3">
        <v>1446</v>
      </c>
      <c r="E2" s="2"/>
    </row>
    <row r="3" spans="1:5" ht="18" customHeight="1">
      <c r="A3" s="1" t="s">
        <v>4</v>
      </c>
      <c r="B3" s="3">
        <f>SUM(D5:D34)</f>
        <v>1589</v>
      </c>
      <c r="C3" s="1" t="s">
        <v>5</v>
      </c>
      <c r="D3" s="4">
        <f>D2-B3</f>
        <v>-143</v>
      </c>
      <c r="E3" s="2"/>
    </row>
    <row r="4" spans="1:5" ht="18" customHeight="1">
      <c r="A4" s="5" t="s">
        <v>6</v>
      </c>
      <c r="B4" s="5" t="s">
        <v>7</v>
      </c>
      <c r="C4" s="5" t="s">
        <v>8</v>
      </c>
      <c r="D4" s="5" t="s">
        <v>9</v>
      </c>
      <c r="E4" s="5" t="s">
        <v>10</v>
      </c>
    </row>
    <row r="5" spans="1:5" ht="16.149999999999999" customHeight="1">
      <c r="A5" s="2" t="s">
        <v>11</v>
      </c>
      <c r="B5" s="2" t="s">
        <v>12</v>
      </c>
      <c r="C5" s="6" t="s">
        <v>13</v>
      </c>
      <c r="D5" s="3">
        <v>50</v>
      </c>
      <c r="E5" s="2">
        <v>15</v>
      </c>
    </row>
    <row r="6" spans="1:5" ht="16.149999999999999" customHeight="1">
      <c r="A6" s="2" t="s">
        <v>14</v>
      </c>
      <c r="B6" s="2" t="s">
        <v>15</v>
      </c>
      <c r="C6" s="6" t="s">
        <v>16</v>
      </c>
      <c r="D6" s="3">
        <v>50</v>
      </c>
      <c r="E6" s="2">
        <v>15</v>
      </c>
    </row>
    <row r="7" spans="1:5" ht="16.149999999999999" customHeight="1">
      <c r="A7" s="2" t="s">
        <v>17</v>
      </c>
      <c r="B7" s="2" t="s">
        <v>18</v>
      </c>
      <c r="C7" s="6" t="s">
        <v>19</v>
      </c>
      <c r="D7" s="3">
        <v>55</v>
      </c>
      <c r="E7" s="2">
        <v>15</v>
      </c>
    </row>
    <row r="8" spans="1:5" ht="16.149999999999999" customHeight="1">
      <c r="A8" s="2" t="s">
        <v>20</v>
      </c>
      <c r="B8" s="2" t="s">
        <v>21</v>
      </c>
      <c r="C8" s="6" t="s">
        <v>22</v>
      </c>
      <c r="D8" s="3">
        <v>55</v>
      </c>
      <c r="E8" s="2">
        <v>15</v>
      </c>
    </row>
    <row r="9" spans="1:5" ht="16.149999999999999" customHeight="1">
      <c r="A9" s="2" t="s">
        <v>23</v>
      </c>
      <c r="B9" s="2" t="s">
        <v>24</v>
      </c>
      <c r="C9" s="6" t="s">
        <v>25</v>
      </c>
      <c r="D9" s="3">
        <v>60</v>
      </c>
      <c r="E9" s="2">
        <v>15</v>
      </c>
    </row>
    <row r="10" spans="1:5" ht="16.149999999999999" customHeight="1">
      <c r="A10" s="7" t="s">
        <v>26</v>
      </c>
      <c r="B10" s="7" t="s">
        <v>27</v>
      </c>
      <c r="C10" s="8"/>
      <c r="D10" s="9"/>
      <c r="E10" s="7"/>
    </row>
    <row r="11" spans="1:5" ht="16.149999999999999" customHeight="1">
      <c r="A11" s="7" t="s">
        <v>28</v>
      </c>
      <c r="B11" s="7" t="s">
        <v>29</v>
      </c>
      <c r="C11" s="8"/>
      <c r="D11" s="9"/>
      <c r="E11" s="7"/>
    </row>
    <row r="12" spans="1:5" ht="16.149999999999999" customHeight="1">
      <c r="A12" s="2" t="s">
        <v>11</v>
      </c>
      <c r="B12" s="2" t="s">
        <v>30</v>
      </c>
      <c r="C12" s="6" t="s">
        <v>31</v>
      </c>
      <c r="D12" s="3">
        <v>60</v>
      </c>
      <c r="E12" s="2">
        <v>15</v>
      </c>
    </row>
    <row r="13" spans="1:5" ht="16.149999999999999" customHeight="1">
      <c r="A13" s="2" t="s">
        <v>14</v>
      </c>
      <c r="B13" s="2" t="s">
        <v>32</v>
      </c>
      <c r="C13" s="6" t="s">
        <v>33</v>
      </c>
      <c r="D13" s="3">
        <v>60</v>
      </c>
      <c r="E13" s="2">
        <v>15</v>
      </c>
    </row>
    <row r="14" spans="1:5" ht="16.149999999999999" customHeight="1">
      <c r="A14" s="2" t="s">
        <v>17</v>
      </c>
      <c r="B14" s="2" t="s">
        <v>34</v>
      </c>
      <c r="C14" s="6" t="s">
        <v>35</v>
      </c>
      <c r="D14" s="3">
        <v>60</v>
      </c>
      <c r="E14" s="2">
        <v>15</v>
      </c>
    </row>
    <row r="15" spans="1:5" ht="16.149999999999999" customHeight="1">
      <c r="A15" s="2" t="s">
        <v>20</v>
      </c>
      <c r="B15" s="2" t="s">
        <v>36</v>
      </c>
      <c r="C15" s="6" t="s">
        <v>37</v>
      </c>
      <c r="D15" s="3">
        <v>60</v>
      </c>
      <c r="E15" s="2">
        <v>15</v>
      </c>
    </row>
    <row r="16" spans="1:5" ht="16.149999999999999" customHeight="1">
      <c r="A16" s="2" t="s">
        <v>23</v>
      </c>
      <c r="B16" s="2" t="s">
        <v>38</v>
      </c>
      <c r="C16" s="6" t="s">
        <v>39</v>
      </c>
      <c r="D16" s="3">
        <v>65</v>
      </c>
      <c r="E16" s="2">
        <v>15</v>
      </c>
    </row>
    <row r="17" spans="1:5" ht="16.149999999999999" customHeight="1">
      <c r="A17" s="7" t="s">
        <v>26</v>
      </c>
      <c r="B17" s="7" t="s">
        <v>40</v>
      </c>
      <c r="C17" s="8"/>
      <c r="D17" s="9"/>
      <c r="E17" s="7"/>
    </row>
    <row r="18" spans="1:5" ht="16.149999999999999" customHeight="1">
      <c r="A18" s="7" t="s">
        <v>28</v>
      </c>
      <c r="B18" s="7" t="s">
        <v>41</v>
      </c>
      <c r="C18" s="8"/>
      <c r="D18" s="9"/>
      <c r="E18" s="7"/>
    </row>
    <row r="19" spans="1:5" ht="16.149999999999999" customHeight="1">
      <c r="A19" s="2" t="s">
        <v>11</v>
      </c>
      <c r="B19" s="2" t="s">
        <v>42</v>
      </c>
      <c r="C19" s="6" t="s">
        <v>43</v>
      </c>
      <c r="D19" s="3">
        <v>65</v>
      </c>
      <c r="E19" s="2">
        <v>15</v>
      </c>
    </row>
    <row r="20" spans="1:5" ht="16.149999999999999" customHeight="1">
      <c r="A20" s="2" t="s">
        <v>14</v>
      </c>
      <c r="B20" s="2" t="s">
        <v>44</v>
      </c>
      <c r="C20" s="6" t="s">
        <v>45</v>
      </c>
      <c r="D20" s="3">
        <v>65</v>
      </c>
      <c r="E20" s="2">
        <v>15</v>
      </c>
    </row>
    <row r="21" spans="1:5" ht="16.149999999999999" customHeight="1">
      <c r="A21" s="2" t="s">
        <v>17</v>
      </c>
      <c r="B21" s="2" t="s">
        <v>46</v>
      </c>
      <c r="C21" s="6" t="s">
        <v>47</v>
      </c>
      <c r="D21" s="3">
        <v>65</v>
      </c>
      <c r="E21" s="2">
        <v>15</v>
      </c>
    </row>
    <row r="22" spans="1:5" ht="16.149999999999999" customHeight="1">
      <c r="A22" s="2" t="s">
        <v>20</v>
      </c>
      <c r="B22" s="2" t="s">
        <v>48</v>
      </c>
      <c r="C22" s="6" t="s">
        <v>49</v>
      </c>
      <c r="D22" s="3">
        <v>65</v>
      </c>
      <c r="E22" s="2">
        <v>15</v>
      </c>
    </row>
    <row r="23" spans="1:5" ht="16.149999999999999" customHeight="1">
      <c r="A23" s="2" t="s">
        <v>23</v>
      </c>
      <c r="B23" s="2" t="s">
        <v>50</v>
      </c>
      <c r="C23" s="6" t="s">
        <v>51</v>
      </c>
      <c r="D23" s="3">
        <v>65</v>
      </c>
      <c r="E23" s="2">
        <v>15</v>
      </c>
    </row>
    <row r="24" spans="1:5" ht="16.149999999999999" customHeight="1">
      <c r="A24" s="7" t="s">
        <v>26</v>
      </c>
      <c r="B24" s="7" t="s">
        <v>52</v>
      </c>
      <c r="C24" s="8"/>
      <c r="D24" s="9"/>
      <c r="E24" s="7"/>
    </row>
    <row r="25" spans="1:5" ht="16.149999999999999" customHeight="1">
      <c r="A25" s="7" t="s">
        <v>28</v>
      </c>
      <c r="B25" s="7" t="s">
        <v>53</v>
      </c>
      <c r="C25" s="8"/>
      <c r="D25" s="9"/>
      <c r="E25" s="7"/>
    </row>
    <row r="26" spans="1:5" ht="16.149999999999999" customHeight="1">
      <c r="A26" s="2" t="s">
        <v>11</v>
      </c>
      <c r="B26" s="2" t="s">
        <v>54</v>
      </c>
      <c r="C26" s="6" t="s">
        <v>55</v>
      </c>
      <c r="D26" s="3">
        <v>85</v>
      </c>
      <c r="E26" s="2">
        <v>15</v>
      </c>
    </row>
    <row r="27" spans="1:5" ht="16.149999999999999" customHeight="1">
      <c r="A27" s="2" t="s">
        <v>14</v>
      </c>
      <c r="B27" s="2" t="s">
        <v>56</v>
      </c>
      <c r="C27" s="6" t="s">
        <v>57</v>
      </c>
      <c r="D27" s="3">
        <v>85</v>
      </c>
      <c r="E27" s="2">
        <v>15</v>
      </c>
    </row>
    <row r="28" spans="1:5" ht="16.149999999999999" customHeight="1">
      <c r="A28" s="2" t="s">
        <v>17</v>
      </c>
      <c r="B28" s="2" t="s">
        <v>58</v>
      </c>
      <c r="C28" s="6" t="s">
        <v>59</v>
      </c>
      <c r="D28" s="3">
        <v>89</v>
      </c>
      <c r="E28" s="2">
        <v>15</v>
      </c>
    </row>
    <row r="29" spans="1:5" ht="16.149999999999999" customHeight="1">
      <c r="A29" s="2" t="s">
        <v>20</v>
      </c>
      <c r="B29" s="2" t="s">
        <v>60</v>
      </c>
      <c r="C29" s="6" t="s">
        <v>61</v>
      </c>
      <c r="D29" s="3">
        <v>130</v>
      </c>
      <c r="E29" s="2">
        <v>15</v>
      </c>
    </row>
    <row r="30" spans="1:5" ht="16.149999999999999" customHeight="1">
      <c r="A30" s="2" t="s">
        <v>23</v>
      </c>
      <c r="B30" s="2" t="s">
        <v>62</v>
      </c>
      <c r="C30" s="6" t="s">
        <v>63</v>
      </c>
      <c r="D30" s="3">
        <v>150</v>
      </c>
      <c r="E30" s="2">
        <v>15</v>
      </c>
    </row>
    <row r="31" spans="1:5" ht="16.149999999999999" customHeight="1">
      <c r="A31" s="7" t="s">
        <v>26</v>
      </c>
      <c r="B31" s="7" t="s">
        <v>64</v>
      </c>
      <c r="C31" s="8"/>
      <c r="D31" s="9"/>
      <c r="E31" s="7"/>
    </row>
    <row r="32" spans="1:5" ht="16.149999999999999" customHeight="1">
      <c r="A32" s="7" t="s">
        <v>28</v>
      </c>
      <c r="B32" s="7" t="s">
        <v>65</v>
      </c>
      <c r="C32" s="8"/>
      <c r="D32" s="9"/>
      <c r="E32" s="7"/>
    </row>
    <row r="33" spans="1:5" ht="16.149999999999999" customHeight="1">
      <c r="A33" s="7" t="s">
        <v>11</v>
      </c>
      <c r="B33" s="7" t="s">
        <v>66</v>
      </c>
      <c r="C33" s="10" t="s">
        <v>67</v>
      </c>
      <c r="D33" s="9"/>
      <c r="E33" s="7"/>
    </row>
    <row r="34" spans="1:5" ht="16.149999999999999" customHeight="1">
      <c r="A34" s="2" t="s">
        <v>14</v>
      </c>
      <c r="B34" s="2" t="s">
        <v>68</v>
      </c>
      <c r="C34" s="6" t="s">
        <v>69</v>
      </c>
      <c r="D34" s="3">
        <v>150</v>
      </c>
      <c r="E34" s="2">
        <v>15</v>
      </c>
    </row>
    <row r="35" spans="1:5" ht="18" customHeight="1">
      <c r="A35" s="11" t="s">
        <v>70</v>
      </c>
      <c r="B35" s="12"/>
      <c r="C35" s="12"/>
      <c r="D35" s="51">
        <f>SUM(D5:D34)</f>
        <v>1589</v>
      </c>
      <c r="E35" s="13">
        <f>SUM(E5:E34)</f>
        <v>315</v>
      </c>
    </row>
    <row r="36" spans="1:5" ht="18" customHeight="1">
      <c r="A36" s="14" t="s">
        <v>5</v>
      </c>
      <c r="B36" s="15"/>
      <c r="C36" s="15"/>
      <c r="D36" s="16">
        <f>D2-D35</f>
        <v>-143</v>
      </c>
      <c r="E36" s="15"/>
    </row>
    <row r="38" spans="1:5" ht="15.75" thickBot="1">
      <c r="C38" t="s">
        <v>159</v>
      </c>
      <c r="D38">
        <v>30</v>
      </c>
    </row>
    <row r="39" spans="1:5" ht="15.75" thickBot="1">
      <c r="C39" s="49" t="s">
        <v>160</v>
      </c>
      <c r="D39" s="50">
        <f>+D35+D38</f>
        <v>1619</v>
      </c>
    </row>
    <row r="40" spans="1:5">
      <c r="D40" s="48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6"/>
  <sheetViews>
    <sheetView topLeftCell="B19" workbookViewId="0">
      <selection activeCell="D35" sqref="D35"/>
    </sheetView>
  </sheetViews>
  <sheetFormatPr baseColWidth="10" defaultColWidth="8.85546875" defaultRowHeight="15"/>
  <cols>
    <col min="1" max="1" width="14.7109375" bestFit="1" customWidth="1"/>
    <col min="2" max="2" width="13" customWidth="1"/>
    <col min="3" max="3" width="42" customWidth="1"/>
    <col min="4" max="4" width="8" customWidth="1"/>
    <col min="5" max="5" width="16" customWidth="1"/>
  </cols>
  <sheetData>
    <row r="1" spans="1:5" ht="22.15" customHeight="1">
      <c r="A1" s="45" t="s">
        <v>71</v>
      </c>
      <c r="B1" s="46"/>
      <c r="C1" s="46"/>
      <c r="D1" s="46"/>
      <c r="E1" s="46"/>
    </row>
    <row r="2" spans="1:5" ht="18" customHeight="1">
      <c r="A2" s="1" t="s">
        <v>1</v>
      </c>
      <c r="B2" s="2" t="s">
        <v>2</v>
      </c>
      <c r="C2" s="1" t="s">
        <v>3</v>
      </c>
      <c r="D2" s="3">
        <v>2209</v>
      </c>
      <c r="E2" s="2"/>
    </row>
    <row r="3" spans="1:5" ht="18" customHeight="1">
      <c r="A3" s="1" t="s">
        <v>4</v>
      </c>
      <c r="B3" s="3">
        <f>SUM(D5:D34)</f>
        <v>2429</v>
      </c>
      <c r="C3" s="1" t="s">
        <v>5</v>
      </c>
      <c r="D3" s="4">
        <f>D2-B3</f>
        <v>-220</v>
      </c>
      <c r="E3" s="2"/>
    </row>
    <row r="4" spans="1:5" ht="18" customHeight="1">
      <c r="A4" s="5" t="s">
        <v>6</v>
      </c>
      <c r="B4" s="5" t="s">
        <v>7</v>
      </c>
      <c r="C4" s="5" t="s">
        <v>8</v>
      </c>
      <c r="D4" s="5" t="s">
        <v>9</v>
      </c>
      <c r="E4" s="5" t="s">
        <v>10</v>
      </c>
    </row>
    <row r="5" spans="1:5" ht="16.149999999999999" customHeight="1">
      <c r="A5" s="2" t="s">
        <v>11</v>
      </c>
      <c r="B5" s="2" t="s">
        <v>12</v>
      </c>
      <c r="C5" s="6" t="s">
        <v>72</v>
      </c>
      <c r="D5" s="3">
        <v>47</v>
      </c>
      <c r="E5" s="2">
        <v>15</v>
      </c>
    </row>
    <row r="6" spans="1:5" ht="16.149999999999999" customHeight="1">
      <c r="A6" s="2" t="s">
        <v>14</v>
      </c>
      <c r="B6" s="2" t="s">
        <v>15</v>
      </c>
      <c r="C6" s="6" t="s">
        <v>73</v>
      </c>
      <c r="D6" s="3">
        <v>47</v>
      </c>
      <c r="E6" s="2">
        <v>15</v>
      </c>
    </row>
    <row r="7" spans="1:5" ht="16.149999999999999" customHeight="1">
      <c r="A7" s="2" t="s">
        <v>17</v>
      </c>
      <c r="B7" s="2" t="s">
        <v>18</v>
      </c>
      <c r="C7" s="6" t="s">
        <v>74</v>
      </c>
      <c r="D7" s="3">
        <v>47</v>
      </c>
      <c r="E7" s="2">
        <v>15</v>
      </c>
    </row>
    <row r="8" spans="1:5" ht="16.149999999999999" customHeight="1">
      <c r="A8" s="2" t="s">
        <v>20</v>
      </c>
      <c r="B8" s="2" t="s">
        <v>21</v>
      </c>
      <c r="C8" s="6" t="s">
        <v>75</v>
      </c>
      <c r="D8" s="3">
        <v>59</v>
      </c>
      <c r="E8" s="2">
        <v>15</v>
      </c>
    </row>
    <row r="9" spans="1:5" ht="16.149999999999999" customHeight="1">
      <c r="A9" s="2" t="s">
        <v>23</v>
      </c>
      <c r="B9" s="2" t="s">
        <v>24</v>
      </c>
      <c r="C9" s="6" t="s">
        <v>76</v>
      </c>
      <c r="D9" s="3">
        <v>59</v>
      </c>
      <c r="E9" s="2">
        <v>15</v>
      </c>
    </row>
    <row r="10" spans="1:5" ht="16.149999999999999" customHeight="1">
      <c r="A10" s="7" t="s">
        <v>26</v>
      </c>
      <c r="B10" s="7" t="s">
        <v>27</v>
      </c>
      <c r="C10" s="8"/>
      <c r="D10" s="9"/>
      <c r="E10" s="7"/>
    </row>
    <row r="11" spans="1:5" ht="16.149999999999999" customHeight="1">
      <c r="A11" s="7" t="s">
        <v>28</v>
      </c>
      <c r="B11" s="7" t="s">
        <v>29</v>
      </c>
      <c r="C11" s="8"/>
      <c r="D11" s="9"/>
      <c r="E11" s="7"/>
    </row>
    <row r="12" spans="1:5" ht="16.149999999999999" customHeight="1">
      <c r="A12" s="2" t="s">
        <v>11</v>
      </c>
      <c r="B12" s="2" t="s">
        <v>30</v>
      </c>
      <c r="C12" s="6" t="s">
        <v>77</v>
      </c>
      <c r="D12" s="3">
        <v>63</v>
      </c>
      <c r="E12" s="2">
        <v>15</v>
      </c>
    </row>
    <row r="13" spans="1:5" ht="16.149999999999999" customHeight="1">
      <c r="A13" s="2" t="s">
        <v>14</v>
      </c>
      <c r="B13" s="2" t="s">
        <v>32</v>
      </c>
      <c r="C13" s="6" t="s">
        <v>78</v>
      </c>
      <c r="D13" s="3">
        <v>68</v>
      </c>
      <c r="E13" s="2">
        <v>15</v>
      </c>
    </row>
    <row r="14" spans="1:5" ht="16.149999999999999" customHeight="1">
      <c r="A14" s="2" t="s">
        <v>17</v>
      </c>
      <c r="B14" s="2" t="s">
        <v>34</v>
      </c>
      <c r="C14" s="6" t="s">
        <v>79</v>
      </c>
      <c r="D14" s="3">
        <v>69</v>
      </c>
      <c r="E14" s="2">
        <v>15</v>
      </c>
    </row>
    <row r="15" spans="1:5" ht="16.149999999999999" customHeight="1">
      <c r="A15" s="2" t="s">
        <v>20</v>
      </c>
      <c r="B15" s="2" t="s">
        <v>36</v>
      </c>
      <c r="C15" s="6" t="s">
        <v>80</v>
      </c>
      <c r="D15" s="3">
        <v>69</v>
      </c>
      <c r="E15" s="2">
        <v>15</v>
      </c>
    </row>
    <row r="16" spans="1:5" ht="16.149999999999999" customHeight="1">
      <c r="A16" s="2" t="s">
        <v>23</v>
      </c>
      <c r="B16" s="2" t="s">
        <v>38</v>
      </c>
      <c r="C16" s="6" t="s">
        <v>81</v>
      </c>
      <c r="D16" s="3">
        <v>78</v>
      </c>
      <c r="E16" s="2">
        <v>15</v>
      </c>
    </row>
    <row r="17" spans="1:5" ht="16.149999999999999" customHeight="1">
      <c r="A17" s="7" t="s">
        <v>26</v>
      </c>
      <c r="B17" s="7" t="s">
        <v>40</v>
      </c>
      <c r="C17" s="8"/>
      <c r="D17" s="9"/>
      <c r="E17" s="7"/>
    </row>
    <row r="18" spans="1:5" ht="16.149999999999999" customHeight="1">
      <c r="A18" s="7" t="s">
        <v>28</v>
      </c>
      <c r="B18" s="7" t="s">
        <v>41</v>
      </c>
      <c r="C18" s="8"/>
      <c r="D18" s="9"/>
      <c r="E18" s="7"/>
    </row>
    <row r="19" spans="1:5" ht="16.149999999999999" customHeight="1">
      <c r="A19" s="2" t="s">
        <v>11</v>
      </c>
      <c r="B19" s="2" t="s">
        <v>42</v>
      </c>
      <c r="C19" s="6" t="s">
        <v>82</v>
      </c>
      <c r="D19" s="3">
        <v>78</v>
      </c>
      <c r="E19" s="2">
        <v>15</v>
      </c>
    </row>
    <row r="20" spans="1:5" ht="16.149999999999999" customHeight="1">
      <c r="A20" s="2" t="s">
        <v>14</v>
      </c>
      <c r="B20" s="2" t="s">
        <v>44</v>
      </c>
      <c r="C20" s="6" t="s">
        <v>83</v>
      </c>
      <c r="D20" s="3">
        <v>98</v>
      </c>
      <c r="E20" s="2">
        <v>15</v>
      </c>
    </row>
    <row r="21" spans="1:5" ht="16.149999999999999" customHeight="1">
      <c r="A21" s="2" t="s">
        <v>17</v>
      </c>
      <c r="B21" s="2" t="s">
        <v>46</v>
      </c>
      <c r="C21" s="6" t="s">
        <v>84</v>
      </c>
      <c r="D21" s="3">
        <v>108</v>
      </c>
      <c r="E21" s="2">
        <v>15</v>
      </c>
    </row>
    <row r="22" spans="1:5" ht="16.149999999999999" customHeight="1">
      <c r="A22" s="2" t="s">
        <v>20</v>
      </c>
      <c r="B22" s="2" t="s">
        <v>48</v>
      </c>
      <c r="C22" s="6" t="s">
        <v>85</v>
      </c>
      <c r="D22" s="3">
        <v>108</v>
      </c>
      <c r="E22" s="2">
        <v>15</v>
      </c>
    </row>
    <row r="23" spans="1:5" ht="16.149999999999999" customHeight="1">
      <c r="A23" s="2" t="s">
        <v>23</v>
      </c>
      <c r="B23" s="2" t="s">
        <v>50</v>
      </c>
      <c r="C23" s="6" t="s">
        <v>86</v>
      </c>
      <c r="D23" s="3">
        <v>142</v>
      </c>
      <c r="E23" s="2">
        <v>15</v>
      </c>
    </row>
    <row r="24" spans="1:5" ht="16.149999999999999" customHeight="1">
      <c r="A24" s="7" t="s">
        <v>26</v>
      </c>
      <c r="B24" s="7" t="s">
        <v>52</v>
      </c>
      <c r="C24" s="8"/>
      <c r="D24" s="9"/>
      <c r="E24" s="7"/>
    </row>
    <row r="25" spans="1:5" ht="16.149999999999999" customHeight="1">
      <c r="A25" s="7" t="s">
        <v>28</v>
      </c>
      <c r="B25" s="7" t="s">
        <v>53</v>
      </c>
      <c r="C25" s="8"/>
      <c r="D25" s="9"/>
      <c r="E25" s="7"/>
    </row>
    <row r="26" spans="1:5" ht="16.149999999999999" customHeight="1">
      <c r="A26" s="2" t="s">
        <v>11</v>
      </c>
      <c r="B26" s="2" t="s">
        <v>54</v>
      </c>
      <c r="C26" s="6" t="s">
        <v>87</v>
      </c>
      <c r="D26" s="3">
        <v>148</v>
      </c>
      <c r="E26" s="2">
        <v>15</v>
      </c>
    </row>
    <row r="27" spans="1:5" ht="16.149999999999999" customHeight="1">
      <c r="A27" s="2" t="s">
        <v>14</v>
      </c>
      <c r="B27" s="2" t="s">
        <v>56</v>
      </c>
      <c r="C27" s="6" t="s">
        <v>88</v>
      </c>
      <c r="D27" s="3">
        <v>149</v>
      </c>
      <c r="E27" s="2">
        <v>15</v>
      </c>
    </row>
    <row r="28" spans="1:5" ht="16.149999999999999" customHeight="1">
      <c r="A28" s="2" t="s">
        <v>17</v>
      </c>
      <c r="B28" s="2" t="s">
        <v>58</v>
      </c>
      <c r="C28" s="6" t="s">
        <v>89</v>
      </c>
      <c r="D28" s="3">
        <v>184</v>
      </c>
      <c r="E28" s="2">
        <v>15</v>
      </c>
    </row>
    <row r="29" spans="1:5" ht="16.149999999999999" customHeight="1">
      <c r="A29" s="2" t="s">
        <v>20</v>
      </c>
      <c r="B29" s="2" t="s">
        <v>60</v>
      </c>
      <c r="C29" s="6" t="s">
        <v>90</v>
      </c>
      <c r="D29" s="3">
        <v>249</v>
      </c>
      <c r="E29" s="2">
        <v>15</v>
      </c>
    </row>
    <row r="30" spans="1:5" ht="16.149999999999999" customHeight="1">
      <c r="A30" s="2" t="s">
        <v>23</v>
      </c>
      <c r="B30" s="2" t="s">
        <v>62</v>
      </c>
      <c r="C30" s="6" t="s">
        <v>91</v>
      </c>
      <c r="D30" s="3">
        <v>272</v>
      </c>
      <c r="E30" s="2">
        <v>15</v>
      </c>
    </row>
    <row r="31" spans="1:5" ht="16.149999999999999" customHeight="1">
      <c r="A31" s="7" t="s">
        <v>26</v>
      </c>
      <c r="B31" s="7" t="s">
        <v>64</v>
      </c>
      <c r="C31" s="8"/>
      <c r="D31" s="9"/>
      <c r="E31" s="7"/>
    </row>
    <row r="32" spans="1:5" ht="16.149999999999999" customHeight="1">
      <c r="A32" s="7" t="s">
        <v>28</v>
      </c>
      <c r="B32" s="7" t="s">
        <v>65</v>
      </c>
      <c r="C32" s="8"/>
      <c r="D32" s="9"/>
      <c r="E32" s="7"/>
    </row>
    <row r="33" spans="1:5" ht="16.149999999999999" customHeight="1">
      <c r="A33" s="7" t="s">
        <v>11</v>
      </c>
      <c r="B33" s="7" t="s">
        <v>66</v>
      </c>
      <c r="C33" s="10" t="s">
        <v>67</v>
      </c>
      <c r="D33" s="9"/>
      <c r="E33" s="7"/>
    </row>
    <row r="34" spans="1:5" ht="16.149999999999999" customHeight="1">
      <c r="A34" s="2" t="s">
        <v>14</v>
      </c>
      <c r="B34" s="2" t="s">
        <v>68</v>
      </c>
      <c r="C34" s="6" t="s">
        <v>92</v>
      </c>
      <c r="D34" s="3">
        <v>287</v>
      </c>
      <c r="E34" s="2">
        <v>15</v>
      </c>
    </row>
    <row r="35" spans="1:5" ht="18" customHeight="1">
      <c r="A35" s="11" t="s">
        <v>70</v>
      </c>
      <c r="B35" s="12"/>
      <c r="C35" s="12"/>
      <c r="D35" s="13">
        <f>SUM(D5:D34)</f>
        <v>2429</v>
      </c>
      <c r="E35" s="13">
        <f>SUM(E5:E34)</f>
        <v>315</v>
      </c>
    </row>
    <row r="36" spans="1:5" ht="18" customHeight="1">
      <c r="A36" s="14" t="s">
        <v>5</v>
      </c>
      <c r="B36" s="15"/>
      <c r="C36" s="15"/>
      <c r="D36" s="16">
        <f>D2-D35</f>
        <v>-220</v>
      </c>
      <c r="E36" s="15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6"/>
  <sheetViews>
    <sheetView topLeftCell="A22" workbookViewId="0">
      <selection activeCell="D35" sqref="D35"/>
    </sheetView>
  </sheetViews>
  <sheetFormatPr baseColWidth="10" defaultColWidth="8.85546875" defaultRowHeight="15"/>
  <cols>
    <col min="1" max="1" width="14.7109375" bestFit="1" customWidth="1"/>
    <col min="2" max="2" width="13" customWidth="1"/>
    <col min="3" max="3" width="42" customWidth="1"/>
    <col min="4" max="4" width="8" customWidth="1"/>
    <col min="5" max="5" width="16" customWidth="1"/>
  </cols>
  <sheetData>
    <row r="1" spans="1:5" ht="22.15" customHeight="1">
      <c r="A1" s="45" t="s">
        <v>93</v>
      </c>
      <c r="B1" s="46"/>
      <c r="C1" s="46"/>
      <c r="D1" s="46"/>
      <c r="E1" s="46"/>
    </row>
    <row r="2" spans="1:5" ht="18" customHeight="1">
      <c r="A2" s="1" t="s">
        <v>1</v>
      </c>
      <c r="B2" s="2" t="s">
        <v>2</v>
      </c>
      <c r="C2" s="1" t="s">
        <v>3</v>
      </c>
      <c r="D2" s="3">
        <v>1990</v>
      </c>
      <c r="E2" s="2"/>
    </row>
    <row r="3" spans="1:5" ht="18" customHeight="1">
      <c r="A3" s="1" t="s">
        <v>4</v>
      </c>
      <c r="B3" s="3">
        <f>SUM(D5:D34)</f>
        <v>2188</v>
      </c>
      <c r="C3" s="1" t="s">
        <v>5</v>
      </c>
      <c r="D3" s="4">
        <f>D2-B3</f>
        <v>-198</v>
      </c>
      <c r="E3" s="2"/>
    </row>
    <row r="4" spans="1:5" ht="18" customHeight="1">
      <c r="A4" s="5" t="s">
        <v>6</v>
      </c>
      <c r="B4" s="5" t="s">
        <v>7</v>
      </c>
      <c r="C4" s="5" t="s">
        <v>8</v>
      </c>
      <c r="D4" s="5" t="s">
        <v>9</v>
      </c>
      <c r="E4" s="5" t="s">
        <v>10</v>
      </c>
    </row>
    <row r="5" spans="1:5" ht="16.149999999999999" customHeight="1">
      <c r="A5" s="2" t="s">
        <v>11</v>
      </c>
      <c r="B5" s="2" t="s">
        <v>12</v>
      </c>
      <c r="C5" s="6" t="s">
        <v>94</v>
      </c>
      <c r="D5" s="3">
        <v>25</v>
      </c>
      <c r="E5" s="2">
        <v>15</v>
      </c>
    </row>
    <row r="6" spans="1:5" ht="16.149999999999999" customHeight="1">
      <c r="A6" s="2" t="s">
        <v>14</v>
      </c>
      <c r="B6" s="2" t="s">
        <v>15</v>
      </c>
      <c r="C6" s="6" t="s">
        <v>95</v>
      </c>
      <c r="D6" s="3">
        <v>25</v>
      </c>
      <c r="E6" s="2">
        <v>15</v>
      </c>
    </row>
    <row r="7" spans="1:5" ht="16.149999999999999" customHeight="1">
      <c r="A7" s="2" t="s">
        <v>17</v>
      </c>
      <c r="B7" s="2" t="s">
        <v>18</v>
      </c>
      <c r="C7" s="6" t="s">
        <v>96</v>
      </c>
      <c r="D7" s="3">
        <v>31</v>
      </c>
      <c r="E7" s="2">
        <v>15</v>
      </c>
    </row>
    <row r="8" spans="1:5" ht="16.149999999999999" customHeight="1">
      <c r="A8" s="2" t="s">
        <v>20</v>
      </c>
      <c r="B8" s="2" t="s">
        <v>21</v>
      </c>
      <c r="C8" s="6" t="s">
        <v>97</v>
      </c>
      <c r="D8" s="3">
        <v>32</v>
      </c>
      <c r="E8" s="2">
        <v>15</v>
      </c>
    </row>
    <row r="9" spans="1:5" ht="16.149999999999999" customHeight="1">
      <c r="A9" s="2" t="s">
        <v>23</v>
      </c>
      <c r="B9" s="2" t="s">
        <v>24</v>
      </c>
      <c r="C9" s="6" t="s">
        <v>98</v>
      </c>
      <c r="D9" s="3">
        <v>33</v>
      </c>
      <c r="E9" s="2">
        <v>15</v>
      </c>
    </row>
    <row r="10" spans="1:5" ht="16.149999999999999" customHeight="1">
      <c r="A10" s="7" t="s">
        <v>26</v>
      </c>
      <c r="B10" s="7" t="s">
        <v>27</v>
      </c>
      <c r="C10" s="8"/>
      <c r="D10" s="9"/>
      <c r="E10" s="7"/>
    </row>
    <row r="11" spans="1:5" ht="16.149999999999999" customHeight="1">
      <c r="A11" s="7" t="s">
        <v>28</v>
      </c>
      <c r="B11" s="7" t="s">
        <v>29</v>
      </c>
      <c r="C11" s="8"/>
      <c r="D11" s="9"/>
      <c r="E11" s="7"/>
    </row>
    <row r="12" spans="1:5" ht="16.149999999999999" customHeight="1">
      <c r="A12" s="2" t="s">
        <v>11</v>
      </c>
      <c r="B12" s="2" t="s">
        <v>30</v>
      </c>
      <c r="C12" s="6" t="s">
        <v>99</v>
      </c>
      <c r="D12" s="3">
        <v>33</v>
      </c>
      <c r="E12" s="2">
        <v>15</v>
      </c>
    </row>
    <row r="13" spans="1:5" ht="16.149999999999999" customHeight="1">
      <c r="A13" s="2" t="s">
        <v>14</v>
      </c>
      <c r="B13" s="2" t="s">
        <v>32</v>
      </c>
      <c r="C13" s="6" t="s">
        <v>100</v>
      </c>
      <c r="D13" s="3">
        <v>62</v>
      </c>
      <c r="E13" s="2">
        <v>15</v>
      </c>
    </row>
    <row r="14" spans="1:5" ht="16.149999999999999" customHeight="1">
      <c r="A14" s="2" t="s">
        <v>17</v>
      </c>
      <c r="B14" s="2" t="s">
        <v>34</v>
      </c>
      <c r="C14" s="6" t="s">
        <v>101</v>
      </c>
      <c r="D14" s="3">
        <v>62</v>
      </c>
      <c r="E14" s="2">
        <v>15</v>
      </c>
    </row>
    <row r="15" spans="1:5" ht="16.149999999999999" customHeight="1">
      <c r="A15" s="2" t="s">
        <v>20</v>
      </c>
      <c r="B15" s="2" t="s">
        <v>36</v>
      </c>
      <c r="C15" s="6" t="s">
        <v>102</v>
      </c>
      <c r="D15" s="3">
        <v>65</v>
      </c>
      <c r="E15" s="2">
        <v>15</v>
      </c>
    </row>
    <row r="16" spans="1:5" ht="16.149999999999999" customHeight="1">
      <c r="A16" s="2" t="s">
        <v>23</v>
      </c>
      <c r="B16" s="2" t="s">
        <v>38</v>
      </c>
      <c r="C16" s="6" t="s">
        <v>103</v>
      </c>
      <c r="D16" s="3">
        <v>65</v>
      </c>
      <c r="E16" s="2">
        <v>15</v>
      </c>
    </row>
    <row r="17" spans="1:5" ht="16.149999999999999" customHeight="1">
      <c r="A17" s="7" t="s">
        <v>26</v>
      </c>
      <c r="B17" s="7" t="s">
        <v>40</v>
      </c>
      <c r="C17" s="8"/>
      <c r="D17" s="9"/>
      <c r="E17" s="7"/>
    </row>
    <row r="18" spans="1:5" ht="16.149999999999999" customHeight="1">
      <c r="A18" s="7" t="s">
        <v>28</v>
      </c>
      <c r="B18" s="7" t="s">
        <v>41</v>
      </c>
      <c r="C18" s="8"/>
      <c r="D18" s="9"/>
      <c r="E18" s="7"/>
    </row>
    <row r="19" spans="1:5" ht="16.149999999999999" customHeight="1">
      <c r="A19" s="2" t="s">
        <v>11</v>
      </c>
      <c r="B19" s="2" t="s">
        <v>42</v>
      </c>
      <c r="C19" s="6" t="s">
        <v>104</v>
      </c>
      <c r="D19" s="3">
        <v>67</v>
      </c>
      <c r="E19" s="2">
        <v>15</v>
      </c>
    </row>
    <row r="20" spans="1:5" ht="16.149999999999999" customHeight="1">
      <c r="A20" s="2" t="s">
        <v>14</v>
      </c>
      <c r="B20" s="2" t="s">
        <v>44</v>
      </c>
      <c r="C20" s="6" t="s">
        <v>105</v>
      </c>
      <c r="D20" s="3">
        <v>75</v>
      </c>
      <c r="E20" s="2">
        <v>15</v>
      </c>
    </row>
    <row r="21" spans="1:5" ht="16.149999999999999" customHeight="1">
      <c r="A21" s="2" t="s">
        <v>17</v>
      </c>
      <c r="B21" s="2" t="s">
        <v>46</v>
      </c>
      <c r="C21" s="6" t="s">
        <v>106</v>
      </c>
      <c r="D21" s="3">
        <v>75</v>
      </c>
      <c r="E21" s="2">
        <v>15</v>
      </c>
    </row>
    <row r="22" spans="1:5" ht="16.149999999999999" customHeight="1">
      <c r="A22" s="2" t="s">
        <v>20</v>
      </c>
      <c r="B22" s="2" t="s">
        <v>48</v>
      </c>
      <c r="C22" s="6" t="s">
        <v>107</v>
      </c>
      <c r="D22" s="3">
        <v>92</v>
      </c>
      <c r="E22" s="2">
        <v>15</v>
      </c>
    </row>
    <row r="23" spans="1:5" ht="16.149999999999999" customHeight="1">
      <c r="A23" s="2" t="s">
        <v>23</v>
      </c>
      <c r="B23" s="2" t="s">
        <v>50</v>
      </c>
      <c r="C23" s="6" t="s">
        <v>108</v>
      </c>
      <c r="D23" s="3">
        <v>112</v>
      </c>
      <c r="E23" s="2">
        <v>15</v>
      </c>
    </row>
    <row r="24" spans="1:5" ht="16.149999999999999" customHeight="1">
      <c r="A24" s="7" t="s">
        <v>26</v>
      </c>
      <c r="B24" s="7" t="s">
        <v>52</v>
      </c>
      <c r="C24" s="8"/>
      <c r="D24" s="9"/>
      <c r="E24" s="7"/>
    </row>
    <row r="25" spans="1:5" ht="16.149999999999999" customHeight="1">
      <c r="A25" s="7" t="s">
        <v>28</v>
      </c>
      <c r="B25" s="7" t="s">
        <v>53</v>
      </c>
      <c r="C25" s="8"/>
      <c r="D25" s="9"/>
      <c r="E25" s="7"/>
    </row>
    <row r="26" spans="1:5" ht="16.149999999999999" customHeight="1">
      <c r="A26" s="2" t="s">
        <v>11</v>
      </c>
      <c r="B26" s="2" t="s">
        <v>54</v>
      </c>
      <c r="C26" s="6" t="s">
        <v>109</v>
      </c>
      <c r="D26" s="3">
        <v>150</v>
      </c>
      <c r="E26" s="2">
        <v>15</v>
      </c>
    </row>
    <row r="27" spans="1:5" ht="16.149999999999999" customHeight="1">
      <c r="A27" s="2" t="s">
        <v>14</v>
      </c>
      <c r="B27" s="2" t="s">
        <v>56</v>
      </c>
      <c r="C27" s="6" t="s">
        <v>110</v>
      </c>
      <c r="D27" s="3">
        <v>188</v>
      </c>
      <c r="E27" s="2">
        <v>15</v>
      </c>
    </row>
    <row r="28" spans="1:5" ht="16.149999999999999" customHeight="1">
      <c r="A28" s="2" t="s">
        <v>17</v>
      </c>
      <c r="B28" s="2" t="s">
        <v>58</v>
      </c>
      <c r="C28" s="6" t="s">
        <v>111</v>
      </c>
      <c r="D28" s="3">
        <v>190</v>
      </c>
      <c r="E28" s="2">
        <v>15</v>
      </c>
    </row>
    <row r="29" spans="1:5" ht="16.149999999999999" customHeight="1">
      <c r="A29" s="2" t="s">
        <v>20</v>
      </c>
      <c r="B29" s="2" t="s">
        <v>60</v>
      </c>
      <c r="C29" s="6" t="s">
        <v>112</v>
      </c>
      <c r="D29" s="3">
        <v>244</v>
      </c>
      <c r="E29" s="2">
        <v>15</v>
      </c>
    </row>
    <row r="30" spans="1:5" ht="16.149999999999999" customHeight="1">
      <c r="A30" s="2" t="s">
        <v>23</v>
      </c>
      <c r="B30" s="2" t="s">
        <v>62</v>
      </c>
      <c r="C30" s="6" t="s">
        <v>113</v>
      </c>
      <c r="D30" s="3">
        <v>280</v>
      </c>
      <c r="E30" s="2">
        <v>15</v>
      </c>
    </row>
    <row r="31" spans="1:5" ht="16.149999999999999" customHeight="1">
      <c r="A31" s="7" t="s">
        <v>26</v>
      </c>
      <c r="B31" s="7" t="s">
        <v>64</v>
      </c>
      <c r="C31" s="8"/>
      <c r="D31" s="9"/>
      <c r="E31" s="7"/>
    </row>
    <row r="32" spans="1:5" ht="16.149999999999999" customHeight="1">
      <c r="A32" s="7" t="s">
        <v>28</v>
      </c>
      <c r="B32" s="7" t="s">
        <v>65</v>
      </c>
      <c r="C32" s="8"/>
      <c r="D32" s="9"/>
      <c r="E32" s="7"/>
    </row>
    <row r="33" spans="1:5" ht="16.149999999999999" customHeight="1">
      <c r="A33" s="7" t="s">
        <v>11</v>
      </c>
      <c r="B33" s="7" t="s">
        <v>66</v>
      </c>
      <c r="C33" s="10" t="s">
        <v>67</v>
      </c>
      <c r="D33" s="9"/>
      <c r="E33" s="7"/>
    </row>
    <row r="34" spans="1:5" ht="16.149999999999999" customHeight="1">
      <c r="A34" s="2" t="s">
        <v>14</v>
      </c>
      <c r="B34" s="2" t="s">
        <v>68</v>
      </c>
      <c r="C34" s="6" t="s">
        <v>114</v>
      </c>
      <c r="D34" s="3">
        <v>282</v>
      </c>
      <c r="E34" s="2">
        <v>15</v>
      </c>
    </row>
    <row r="35" spans="1:5" ht="18" customHeight="1">
      <c r="A35" s="11" t="s">
        <v>70</v>
      </c>
      <c r="B35" s="12"/>
      <c r="C35" s="12"/>
      <c r="D35" s="13">
        <f>SUM(D5:D34)</f>
        <v>2188</v>
      </c>
      <c r="E35" s="13">
        <f>SUM(E5:E34)</f>
        <v>315</v>
      </c>
    </row>
    <row r="36" spans="1:5" ht="18" customHeight="1">
      <c r="A36" s="14" t="s">
        <v>5</v>
      </c>
      <c r="B36" s="15"/>
      <c r="C36" s="15"/>
      <c r="D36" s="16">
        <f>D2-D35</f>
        <v>-198</v>
      </c>
      <c r="E36" s="15"/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2AE5E-79A9-4400-AB54-AE9EA1786BB6}">
  <dimension ref="A1:I46"/>
  <sheetViews>
    <sheetView topLeftCell="A15" zoomScaleNormal="100" workbookViewId="0">
      <selection activeCell="D35" sqref="D35"/>
    </sheetView>
  </sheetViews>
  <sheetFormatPr baseColWidth="10" defaultColWidth="11.5703125" defaultRowHeight="14.25"/>
  <cols>
    <col min="1" max="2" width="11.5703125" style="17"/>
    <col min="3" max="3" width="35.28515625" style="17" bestFit="1" customWidth="1"/>
    <col min="4" max="4" width="11.5703125" style="17"/>
    <col min="5" max="5" width="15.140625" style="17" bestFit="1" customWidth="1"/>
    <col min="6" max="6" width="19.7109375" style="17" bestFit="1" customWidth="1"/>
    <col min="7" max="7" width="3.28515625" style="17" bestFit="1" customWidth="1"/>
    <col min="8" max="8" width="38.7109375" style="17" customWidth="1"/>
    <col min="9" max="9" width="6.28515625" style="17" bestFit="1" customWidth="1"/>
    <col min="10" max="16384" width="11.5703125" style="17"/>
  </cols>
  <sheetData>
    <row r="1" spans="1:9" ht="19.5">
      <c r="A1" s="47" t="s">
        <v>153</v>
      </c>
      <c r="B1" s="47"/>
      <c r="C1" s="47"/>
      <c r="D1" s="47"/>
      <c r="E1" s="47"/>
    </row>
    <row r="2" spans="1:9">
      <c r="A2" s="35" t="s">
        <v>1</v>
      </c>
      <c r="B2" s="34" t="s">
        <v>2</v>
      </c>
      <c r="C2" s="34" t="s">
        <v>3</v>
      </c>
      <c r="D2" s="33">
        <v>1900</v>
      </c>
      <c r="E2" s="32"/>
    </row>
    <row r="3" spans="1:9">
      <c r="A3" s="31" t="s">
        <v>4</v>
      </c>
      <c r="B3" s="30">
        <f>SUM(D5:D34)</f>
        <v>2468</v>
      </c>
      <c r="C3" s="30" t="s">
        <v>5</v>
      </c>
      <c r="D3" s="29">
        <f>D2-B3</f>
        <v>-568</v>
      </c>
      <c r="E3" s="28"/>
    </row>
    <row r="4" spans="1:9">
      <c r="A4" s="26" t="s">
        <v>152</v>
      </c>
      <c r="B4" s="26" t="s">
        <v>7</v>
      </c>
      <c r="C4" s="26" t="s">
        <v>8</v>
      </c>
      <c r="D4" s="27" t="s">
        <v>9</v>
      </c>
      <c r="E4" s="26" t="s">
        <v>10</v>
      </c>
      <c r="G4" s="36"/>
      <c r="H4" s="36"/>
      <c r="I4" s="37"/>
    </row>
    <row r="5" spans="1:9">
      <c r="A5" s="20" t="s">
        <v>11</v>
      </c>
      <c r="B5" s="21">
        <v>46174</v>
      </c>
      <c r="C5" s="20" t="s">
        <v>146</v>
      </c>
      <c r="D5" s="20">
        <v>86</v>
      </c>
      <c r="E5" s="20">
        <v>15</v>
      </c>
      <c r="G5" s="36"/>
      <c r="H5" s="36"/>
      <c r="I5" s="37"/>
    </row>
    <row r="6" spans="1:9">
      <c r="A6" s="20" t="s">
        <v>14</v>
      </c>
      <c r="B6" s="21">
        <v>46175</v>
      </c>
      <c r="C6" s="20" t="s">
        <v>145</v>
      </c>
      <c r="D6" s="20">
        <v>86</v>
      </c>
      <c r="E6" s="20">
        <v>15</v>
      </c>
      <c r="G6" s="36"/>
      <c r="H6" s="36"/>
      <c r="I6" s="37"/>
    </row>
    <row r="7" spans="1:9">
      <c r="A7" s="20" t="s">
        <v>144</v>
      </c>
      <c r="B7" s="21">
        <v>46176</v>
      </c>
      <c r="C7" s="20" t="s">
        <v>151</v>
      </c>
      <c r="D7" s="20">
        <v>80</v>
      </c>
      <c r="E7" s="20">
        <v>15</v>
      </c>
      <c r="I7" s="22"/>
    </row>
    <row r="8" spans="1:9">
      <c r="A8" s="20" t="s">
        <v>20</v>
      </c>
      <c r="B8" s="21">
        <v>46177</v>
      </c>
      <c r="C8" s="20" t="s">
        <v>119</v>
      </c>
      <c r="D8" s="20">
        <v>75</v>
      </c>
      <c r="E8" s="20">
        <v>15</v>
      </c>
      <c r="I8" s="22"/>
    </row>
    <row r="9" spans="1:9">
      <c r="A9" s="20" t="s">
        <v>23</v>
      </c>
      <c r="B9" s="21">
        <v>46178</v>
      </c>
      <c r="C9" s="20" t="s">
        <v>150</v>
      </c>
      <c r="D9" s="20">
        <v>75</v>
      </c>
      <c r="E9" s="20">
        <v>15</v>
      </c>
      <c r="I9" s="22"/>
    </row>
    <row r="10" spans="1:9">
      <c r="A10" s="23" t="s">
        <v>26</v>
      </c>
      <c r="B10" s="25">
        <v>46179</v>
      </c>
      <c r="C10" s="23"/>
      <c r="D10" s="24"/>
      <c r="E10" s="23"/>
      <c r="I10" s="22"/>
    </row>
    <row r="11" spans="1:9">
      <c r="A11" s="23" t="s">
        <v>28</v>
      </c>
      <c r="B11" s="25">
        <v>46180</v>
      </c>
      <c r="C11" s="23"/>
      <c r="D11" s="24"/>
      <c r="E11" s="23"/>
      <c r="I11" s="22"/>
    </row>
    <row r="12" spans="1:9">
      <c r="A12" s="20" t="s">
        <v>11</v>
      </c>
      <c r="B12" s="21">
        <v>46181</v>
      </c>
      <c r="C12" s="20" t="s">
        <v>117</v>
      </c>
      <c r="D12" s="20">
        <v>60</v>
      </c>
      <c r="E12" s="20">
        <v>15</v>
      </c>
      <c r="I12" s="22"/>
    </row>
    <row r="13" spans="1:9">
      <c r="A13" s="20" t="s">
        <v>14</v>
      </c>
      <c r="B13" s="21">
        <v>46182</v>
      </c>
      <c r="C13" s="20" t="s">
        <v>118</v>
      </c>
      <c r="D13" s="20">
        <v>60</v>
      </c>
      <c r="E13" s="20">
        <v>15</v>
      </c>
      <c r="I13" s="22"/>
    </row>
    <row r="14" spans="1:9">
      <c r="A14" s="20" t="s">
        <v>144</v>
      </c>
      <c r="B14" s="21">
        <v>46183</v>
      </c>
      <c r="C14" s="20" t="s">
        <v>149</v>
      </c>
      <c r="D14" s="20">
        <v>118</v>
      </c>
      <c r="E14" s="20">
        <v>15</v>
      </c>
      <c r="I14" s="22"/>
    </row>
    <row r="15" spans="1:9">
      <c r="A15" s="20" t="s">
        <v>20</v>
      </c>
      <c r="B15" s="21">
        <v>46184</v>
      </c>
      <c r="C15" s="20" t="s">
        <v>148</v>
      </c>
      <c r="D15" s="20">
        <v>118</v>
      </c>
      <c r="E15" s="20">
        <v>15</v>
      </c>
      <c r="I15" s="22"/>
    </row>
    <row r="16" spans="1:9">
      <c r="A16" s="20" t="s">
        <v>23</v>
      </c>
      <c r="B16" s="21">
        <v>46185</v>
      </c>
      <c r="C16" s="20" t="s">
        <v>115</v>
      </c>
      <c r="D16" s="20">
        <v>55</v>
      </c>
      <c r="E16" s="20">
        <v>15</v>
      </c>
      <c r="I16" s="22"/>
    </row>
    <row r="17" spans="1:9">
      <c r="A17" s="23" t="s">
        <v>142</v>
      </c>
      <c r="B17" s="25">
        <v>46186</v>
      </c>
      <c r="C17" s="23"/>
      <c r="D17" s="24"/>
      <c r="E17" s="23"/>
      <c r="I17" s="22"/>
    </row>
    <row r="18" spans="1:9">
      <c r="A18" s="23" t="s">
        <v>28</v>
      </c>
      <c r="B18" s="25">
        <v>46187</v>
      </c>
      <c r="C18" s="23"/>
      <c r="D18" s="24"/>
      <c r="E18" s="23"/>
      <c r="I18" s="22"/>
    </row>
    <row r="19" spans="1:9">
      <c r="A19" s="20" t="s">
        <v>11</v>
      </c>
      <c r="B19" s="21">
        <v>46188</v>
      </c>
      <c r="C19" s="20" t="s">
        <v>116</v>
      </c>
      <c r="D19" s="20">
        <v>55</v>
      </c>
      <c r="E19" s="20">
        <v>15</v>
      </c>
      <c r="I19" s="22"/>
    </row>
    <row r="20" spans="1:9">
      <c r="A20" s="20" t="s">
        <v>14</v>
      </c>
      <c r="B20" s="21">
        <v>46189</v>
      </c>
      <c r="C20" s="20" t="s">
        <v>136</v>
      </c>
      <c r="D20" s="20">
        <v>75</v>
      </c>
      <c r="E20" s="20">
        <v>15</v>
      </c>
      <c r="I20" s="22"/>
    </row>
    <row r="21" spans="1:9">
      <c r="A21" s="20" t="s">
        <v>144</v>
      </c>
      <c r="B21" s="21">
        <v>46190</v>
      </c>
      <c r="C21" s="20" t="s">
        <v>136</v>
      </c>
      <c r="D21" s="20">
        <v>75</v>
      </c>
      <c r="E21" s="20">
        <v>15</v>
      </c>
      <c r="I21" s="22"/>
    </row>
    <row r="22" spans="1:9">
      <c r="A22" s="20" t="s">
        <v>20</v>
      </c>
      <c r="B22" s="21">
        <v>46191</v>
      </c>
      <c r="C22" s="20" t="s">
        <v>147</v>
      </c>
      <c r="D22" s="20">
        <v>160</v>
      </c>
      <c r="E22" s="20">
        <v>15</v>
      </c>
      <c r="I22" s="22"/>
    </row>
    <row r="23" spans="1:9">
      <c r="A23" s="20" t="s">
        <v>23</v>
      </c>
      <c r="B23" s="21">
        <v>46192</v>
      </c>
      <c r="C23" s="20" t="s">
        <v>135</v>
      </c>
      <c r="D23" s="20">
        <v>160</v>
      </c>
      <c r="E23" s="20">
        <v>15</v>
      </c>
      <c r="I23" s="22"/>
    </row>
    <row r="24" spans="1:9">
      <c r="A24" s="23" t="s">
        <v>142</v>
      </c>
      <c r="B24" s="25">
        <v>46193</v>
      </c>
      <c r="C24" s="23"/>
      <c r="D24" s="24"/>
      <c r="E24" s="23"/>
      <c r="I24" s="22"/>
    </row>
    <row r="25" spans="1:9">
      <c r="A25" s="23" t="s">
        <v>28</v>
      </c>
      <c r="B25" s="25">
        <v>46194</v>
      </c>
      <c r="C25" s="23"/>
      <c r="D25" s="24"/>
      <c r="E25" s="23"/>
      <c r="I25" s="22"/>
    </row>
    <row r="26" spans="1:9">
      <c r="A26" s="20" t="s">
        <v>11</v>
      </c>
      <c r="B26" s="21">
        <v>46195</v>
      </c>
      <c r="C26" s="20" t="s">
        <v>141</v>
      </c>
      <c r="D26" s="20">
        <v>200</v>
      </c>
      <c r="E26" s="20">
        <v>15</v>
      </c>
      <c r="I26" s="22"/>
    </row>
    <row r="27" spans="1:9">
      <c r="A27" s="20" t="s">
        <v>14</v>
      </c>
      <c r="B27" s="21">
        <v>46196</v>
      </c>
      <c r="C27" s="20" t="s">
        <v>140</v>
      </c>
      <c r="D27" s="20">
        <v>200</v>
      </c>
      <c r="E27" s="20">
        <v>15</v>
      </c>
      <c r="I27" s="22"/>
    </row>
    <row r="28" spans="1:9">
      <c r="A28" s="20" t="s">
        <v>144</v>
      </c>
      <c r="B28" s="21">
        <v>46197</v>
      </c>
      <c r="C28" s="20" t="s">
        <v>137</v>
      </c>
      <c r="D28" s="20">
        <v>220</v>
      </c>
      <c r="E28" s="20">
        <v>15</v>
      </c>
      <c r="I28" s="22"/>
    </row>
    <row r="29" spans="1:9">
      <c r="A29" s="20" t="s">
        <v>20</v>
      </c>
      <c r="B29" s="21">
        <v>46198</v>
      </c>
      <c r="C29" s="20" t="s">
        <v>143</v>
      </c>
      <c r="D29" s="20">
        <v>220</v>
      </c>
      <c r="E29" s="20">
        <v>15</v>
      </c>
      <c r="I29" s="22"/>
    </row>
    <row r="30" spans="1:9">
      <c r="A30" s="20" t="s">
        <v>23</v>
      </c>
      <c r="B30" s="21">
        <v>46199</v>
      </c>
      <c r="C30" s="20" t="s">
        <v>138</v>
      </c>
      <c r="D30" s="20">
        <v>130</v>
      </c>
      <c r="E30" s="20">
        <v>15</v>
      </c>
      <c r="I30" s="22"/>
    </row>
    <row r="31" spans="1:9">
      <c r="A31" s="23" t="s">
        <v>142</v>
      </c>
      <c r="B31" s="25">
        <v>46200</v>
      </c>
      <c r="C31" s="23"/>
      <c r="D31" s="24"/>
      <c r="E31" s="23"/>
      <c r="I31" s="22"/>
    </row>
    <row r="32" spans="1:9">
      <c r="A32" s="23" t="s">
        <v>28</v>
      </c>
      <c r="B32" s="25">
        <v>46201</v>
      </c>
      <c r="C32" s="39"/>
      <c r="D32" s="40"/>
      <c r="E32" s="39"/>
      <c r="I32" s="22"/>
    </row>
    <row r="33" spans="1:9">
      <c r="A33" s="23" t="s">
        <v>11</v>
      </c>
      <c r="B33" s="38">
        <v>46202</v>
      </c>
      <c r="C33" s="42" t="s">
        <v>67</v>
      </c>
      <c r="D33" s="43"/>
      <c r="E33" s="44"/>
      <c r="I33" s="22"/>
    </row>
    <row r="34" spans="1:9">
      <c r="A34" s="20" t="s">
        <v>14</v>
      </c>
      <c r="B34" s="21">
        <v>46203</v>
      </c>
      <c r="C34" s="41" t="s">
        <v>139</v>
      </c>
      <c r="D34" s="41">
        <v>160</v>
      </c>
      <c r="E34" s="41">
        <v>15</v>
      </c>
      <c r="I34" s="22"/>
    </row>
    <row r="35" spans="1:9">
      <c r="A35" s="18" t="s">
        <v>70</v>
      </c>
      <c r="B35" s="18"/>
      <c r="C35" s="18"/>
      <c r="D35" s="19">
        <f>SUM(D5:D34)</f>
        <v>2468</v>
      </c>
      <c r="E35" s="18">
        <f>SUM(E5:E34)</f>
        <v>315</v>
      </c>
      <c r="I35" s="22"/>
    </row>
    <row r="36" spans="1:9">
      <c r="A36" s="18" t="s">
        <v>5</v>
      </c>
      <c r="B36" s="18"/>
      <c r="C36" s="18"/>
      <c r="D36" s="19">
        <f>D2-D35</f>
        <v>-568</v>
      </c>
      <c r="E36" s="18"/>
      <c r="I36" s="22"/>
    </row>
    <row r="37" spans="1:9">
      <c r="I37" s="22"/>
    </row>
    <row r="38" spans="1:9">
      <c r="I38" s="22"/>
    </row>
    <row r="39" spans="1:9">
      <c r="I39" s="22"/>
    </row>
    <row r="40" spans="1:9">
      <c r="I40" s="22"/>
    </row>
    <row r="41" spans="1:9">
      <c r="I41" s="22"/>
    </row>
    <row r="42" spans="1:9">
      <c r="I42" s="22"/>
    </row>
    <row r="43" spans="1:9">
      <c r="I43" s="22"/>
    </row>
    <row r="44" spans="1:9">
      <c r="I44" s="22"/>
    </row>
    <row r="45" spans="1:9">
      <c r="I45" s="22"/>
    </row>
    <row r="46" spans="1:9">
      <c r="I46" s="22"/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9F51C-8CC9-42C8-92C7-613AA539E850}">
  <dimension ref="A1:E36"/>
  <sheetViews>
    <sheetView topLeftCell="A18" zoomScaleNormal="100" workbookViewId="0">
      <selection activeCell="D35" sqref="D35"/>
    </sheetView>
  </sheetViews>
  <sheetFormatPr baseColWidth="10" defaultColWidth="10" defaultRowHeight="14.25"/>
  <cols>
    <col min="1" max="2" width="15.5703125" style="22" customWidth="1"/>
    <col min="3" max="3" width="42.28515625" style="22" customWidth="1"/>
    <col min="4" max="4" width="6.7109375" style="22" customWidth="1"/>
    <col min="5" max="5" width="15.42578125" style="22" customWidth="1"/>
    <col min="6" max="8" width="10" style="22"/>
    <col min="9" max="9" width="26.7109375" style="22" bestFit="1" customWidth="1"/>
    <col min="10" max="16384" width="10" style="22"/>
  </cols>
  <sheetData>
    <row r="1" spans="1:5" ht="19.5">
      <c r="A1" s="47" t="s">
        <v>153</v>
      </c>
      <c r="B1" s="47"/>
      <c r="C1" s="47"/>
      <c r="D1" s="47"/>
      <c r="E1" s="47"/>
    </row>
    <row r="2" spans="1:5">
      <c r="A2" s="35" t="s">
        <v>1</v>
      </c>
      <c r="B2" s="34" t="s">
        <v>2</v>
      </c>
      <c r="C2" s="34" t="s">
        <v>3</v>
      </c>
      <c r="D2" s="33">
        <v>1900</v>
      </c>
      <c r="E2" s="32"/>
    </row>
    <row r="3" spans="1:5">
      <c r="A3" s="31" t="s">
        <v>4</v>
      </c>
      <c r="B3" s="30">
        <f>SUM(D5:D34)</f>
        <v>1751</v>
      </c>
      <c r="C3" s="30" t="s">
        <v>5</v>
      </c>
      <c r="D3" s="29">
        <f>D2-B3</f>
        <v>149</v>
      </c>
      <c r="E3" s="28"/>
    </row>
    <row r="4" spans="1:5">
      <c r="A4" s="26" t="s">
        <v>152</v>
      </c>
      <c r="B4" s="26" t="s">
        <v>7</v>
      </c>
      <c r="C4" s="26" t="s">
        <v>8</v>
      </c>
      <c r="D4" s="27" t="s">
        <v>9</v>
      </c>
      <c r="E4" s="26" t="s">
        <v>10</v>
      </c>
    </row>
    <row r="5" spans="1:5">
      <c r="A5" s="20" t="s">
        <v>11</v>
      </c>
      <c r="B5" s="21">
        <v>46174</v>
      </c>
      <c r="C5" s="20" t="s">
        <v>123</v>
      </c>
      <c r="D5" s="20">
        <v>65</v>
      </c>
      <c r="E5" s="20">
        <v>15</v>
      </c>
    </row>
    <row r="6" spans="1:5">
      <c r="A6" s="20" t="s">
        <v>14</v>
      </c>
      <c r="B6" s="21">
        <v>46175</v>
      </c>
      <c r="C6" s="20" t="s">
        <v>124</v>
      </c>
      <c r="D6" s="20">
        <v>65</v>
      </c>
      <c r="E6" s="20">
        <v>15</v>
      </c>
    </row>
    <row r="7" spans="1:5">
      <c r="A7" s="20" t="s">
        <v>144</v>
      </c>
      <c r="B7" s="21">
        <v>46176</v>
      </c>
      <c r="C7" s="20" t="s">
        <v>128</v>
      </c>
      <c r="D7" s="20">
        <v>70</v>
      </c>
      <c r="E7" s="20">
        <v>15</v>
      </c>
    </row>
    <row r="8" spans="1:5">
      <c r="A8" s="20" t="s">
        <v>20</v>
      </c>
      <c r="B8" s="21">
        <v>46177</v>
      </c>
      <c r="C8" s="20" t="s">
        <v>129</v>
      </c>
      <c r="D8" s="20">
        <v>70</v>
      </c>
      <c r="E8" s="20">
        <v>15</v>
      </c>
    </row>
    <row r="9" spans="1:5">
      <c r="A9" s="20" t="s">
        <v>23</v>
      </c>
      <c r="B9" s="21">
        <v>46178</v>
      </c>
      <c r="C9" s="20" t="s">
        <v>131</v>
      </c>
      <c r="D9" s="20">
        <v>75</v>
      </c>
      <c r="E9" s="20">
        <v>15</v>
      </c>
    </row>
    <row r="10" spans="1:5">
      <c r="A10" s="23" t="s">
        <v>26</v>
      </c>
      <c r="B10" s="25">
        <v>46179</v>
      </c>
      <c r="C10" s="23"/>
      <c r="D10" s="24"/>
      <c r="E10" s="23"/>
    </row>
    <row r="11" spans="1:5">
      <c r="A11" s="23" t="s">
        <v>28</v>
      </c>
      <c r="B11" s="25">
        <v>46180</v>
      </c>
      <c r="C11" s="23"/>
      <c r="D11" s="24"/>
      <c r="E11" s="23"/>
    </row>
    <row r="12" spans="1:5">
      <c r="A12" s="20" t="s">
        <v>11</v>
      </c>
      <c r="B12" s="21">
        <v>46181</v>
      </c>
      <c r="C12" s="20" t="s">
        <v>132</v>
      </c>
      <c r="D12" s="20">
        <v>75</v>
      </c>
      <c r="E12" s="20">
        <v>15</v>
      </c>
    </row>
    <row r="13" spans="1:5">
      <c r="A13" s="20" t="s">
        <v>14</v>
      </c>
      <c r="B13" s="21">
        <v>46182</v>
      </c>
      <c r="C13" s="20" t="s">
        <v>125</v>
      </c>
      <c r="D13" s="20">
        <v>65</v>
      </c>
      <c r="E13" s="20">
        <v>15</v>
      </c>
    </row>
    <row r="14" spans="1:5">
      <c r="A14" s="20" t="s">
        <v>144</v>
      </c>
      <c r="B14" s="21">
        <v>46183</v>
      </c>
      <c r="C14" s="20" t="s">
        <v>126</v>
      </c>
      <c r="D14" s="20">
        <v>65</v>
      </c>
      <c r="E14" s="20">
        <v>15</v>
      </c>
    </row>
    <row r="15" spans="1:5">
      <c r="A15" s="20" t="s">
        <v>20</v>
      </c>
      <c r="B15" s="21">
        <v>46184</v>
      </c>
      <c r="C15" s="20" t="s">
        <v>130</v>
      </c>
      <c r="D15" s="20">
        <v>70</v>
      </c>
      <c r="E15" s="20">
        <v>15</v>
      </c>
    </row>
    <row r="16" spans="1:5">
      <c r="A16" s="20" t="s">
        <v>23</v>
      </c>
      <c r="B16" s="21">
        <v>46185</v>
      </c>
      <c r="C16" s="20" t="s">
        <v>154</v>
      </c>
      <c r="D16" s="20">
        <v>70</v>
      </c>
      <c r="E16" s="20">
        <v>15</v>
      </c>
    </row>
    <row r="17" spans="1:5">
      <c r="A17" s="23" t="s">
        <v>142</v>
      </c>
      <c r="B17" s="25">
        <v>46186</v>
      </c>
      <c r="C17" s="23"/>
      <c r="D17" s="24"/>
      <c r="E17" s="23"/>
    </row>
    <row r="18" spans="1:5">
      <c r="A18" s="23" t="s">
        <v>28</v>
      </c>
      <c r="B18" s="25">
        <v>46187</v>
      </c>
      <c r="C18" s="23"/>
      <c r="D18" s="24"/>
      <c r="E18" s="23"/>
    </row>
    <row r="19" spans="1:5">
      <c r="A19" s="20" t="s">
        <v>11</v>
      </c>
      <c r="B19" s="21">
        <v>46188</v>
      </c>
      <c r="C19" s="20" t="s">
        <v>127</v>
      </c>
      <c r="D19" s="20">
        <v>65</v>
      </c>
      <c r="E19" s="20">
        <v>15</v>
      </c>
    </row>
    <row r="20" spans="1:5">
      <c r="A20" s="20" t="s">
        <v>14</v>
      </c>
      <c r="B20" s="21">
        <v>46189</v>
      </c>
      <c r="C20" s="20" t="s">
        <v>155</v>
      </c>
      <c r="D20" s="20">
        <v>65</v>
      </c>
      <c r="E20" s="20">
        <v>15</v>
      </c>
    </row>
    <row r="21" spans="1:5">
      <c r="A21" s="20" t="s">
        <v>144</v>
      </c>
      <c r="B21" s="21">
        <v>46190</v>
      </c>
      <c r="C21" s="20" t="s">
        <v>122</v>
      </c>
      <c r="D21" s="20">
        <v>60</v>
      </c>
      <c r="E21" s="20">
        <v>15</v>
      </c>
    </row>
    <row r="22" spans="1:5">
      <c r="A22" s="20" t="s">
        <v>20</v>
      </c>
      <c r="B22" s="21">
        <v>46191</v>
      </c>
      <c r="C22" s="20" t="s">
        <v>73</v>
      </c>
      <c r="D22" s="20">
        <v>60</v>
      </c>
      <c r="E22" s="20">
        <v>15</v>
      </c>
    </row>
    <row r="23" spans="1:5">
      <c r="A23" s="20" t="s">
        <v>23</v>
      </c>
      <c r="B23" s="21">
        <v>46192</v>
      </c>
      <c r="C23" s="20" t="s">
        <v>120</v>
      </c>
      <c r="D23" s="20">
        <v>58</v>
      </c>
      <c r="E23" s="20">
        <v>15</v>
      </c>
    </row>
    <row r="24" spans="1:5">
      <c r="A24" s="23" t="s">
        <v>142</v>
      </c>
      <c r="B24" s="25">
        <v>46193</v>
      </c>
      <c r="C24" s="23"/>
      <c r="D24" s="24"/>
      <c r="E24" s="23"/>
    </row>
    <row r="25" spans="1:5">
      <c r="A25" s="23" t="s">
        <v>28</v>
      </c>
      <c r="B25" s="25">
        <v>46194</v>
      </c>
      <c r="C25" s="23"/>
      <c r="D25" s="24"/>
      <c r="E25" s="23"/>
    </row>
    <row r="26" spans="1:5">
      <c r="A26" s="20" t="s">
        <v>11</v>
      </c>
      <c r="B26" s="21">
        <v>46195</v>
      </c>
      <c r="C26" s="20" t="s">
        <v>121</v>
      </c>
      <c r="D26" s="20">
        <v>58</v>
      </c>
      <c r="E26" s="20">
        <v>15</v>
      </c>
    </row>
    <row r="27" spans="1:5">
      <c r="A27" s="20" t="s">
        <v>14</v>
      </c>
      <c r="B27" s="21">
        <v>46196</v>
      </c>
      <c r="C27" s="20" t="s">
        <v>133</v>
      </c>
      <c r="D27" s="20">
        <v>80</v>
      </c>
      <c r="E27" s="20">
        <v>15</v>
      </c>
    </row>
    <row r="28" spans="1:5">
      <c r="A28" s="20" t="s">
        <v>144</v>
      </c>
      <c r="B28" s="21">
        <v>46197</v>
      </c>
      <c r="C28" s="20" t="s">
        <v>134</v>
      </c>
      <c r="D28" s="20">
        <v>80</v>
      </c>
      <c r="E28" s="20">
        <v>15</v>
      </c>
    </row>
    <row r="29" spans="1:5">
      <c r="A29" s="20" t="s">
        <v>20</v>
      </c>
      <c r="B29" s="21">
        <v>46198</v>
      </c>
      <c r="C29" s="20" t="s">
        <v>156</v>
      </c>
      <c r="D29" s="20">
        <v>180</v>
      </c>
      <c r="E29" s="20">
        <v>15</v>
      </c>
    </row>
    <row r="30" spans="1:5">
      <c r="A30" s="20" t="s">
        <v>23</v>
      </c>
      <c r="B30" s="21">
        <v>46199</v>
      </c>
      <c r="C30" s="20" t="s">
        <v>157</v>
      </c>
      <c r="D30" s="20">
        <v>180</v>
      </c>
      <c r="E30" s="20">
        <v>15</v>
      </c>
    </row>
    <row r="31" spans="1:5">
      <c r="A31" s="23" t="s">
        <v>142</v>
      </c>
      <c r="B31" s="25">
        <v>46200</v>
      </c>
      <c r="C31" s="23"/>
      <c r="D31" s="24"/>
      <c r="E31" s="23"/>
    </row>
    <row r="32" spans="1:5">
      <c r="A32" s="23" t="s">
        <v>28</v>
      </c>
      <c r="B32" s="25">
        <v>46201</v>
      </c>
      <c r="C32" s="23"/>
      <c r="D32" s="24"/>
      <c r="E32" s="23"/>
    </row>
    <row r="33" spans="1:5">
      <c r="A33" s="23" t="s">
        <v>11</v>
      </c>
      <c r="B33" s="38">
        <v>46202</v>
      </c>
      <c r="C33" s="42" t="s">
        <v>67</v>
      </c>
      <c r="D33" s="43"/>
      <c r="E33" s="44"/>
    </row>
    <row r="34" spans="1:5">
      <c r="A34" s="20" t="s">
        <v>14</v>
      </c>
      <c r="B34" s="21">
        <v>46203</v>
      </c>
      <c r="C34" s="20" t="s">
        <v>158</v>
      </c>
      <c r="D34" s="20">
        <v>175</v>
      </c>
      <c r="E34" s="20">
        <v>15</v>
      </c>
    </row>
    <row r="35" spans="1:5">
      <c r="A35" s="18" t="s">
        <v>70</v>
      </c>
      <c r="B35" s="18"/>
      <c r="C35" s="18"/>
      <c r="D35" s="19">
        <f>SUM(D5:D34)</f>
        <v>1751</v>
      </c>
      <c r="E35" s="18">
        <f>SUM(E5:E34)</f>
        <v>315</v>
      </c>
    </row>
    <row r="36" spans="1:5">
      <c r="A36" s="18" t="s">
        <v>5</v>
      </c>
      <c r="B36" s="18"/>
      <c r="C36" s="18"/>
      <c r="D36" s="19">
        <f>D2-D35</f>
        <v>149</v>
      </c>
      <c r="E36" s="18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Carlos Acevedo</vt:lpstr>
      <vt:lpstr>Samuel Inostroza</vt:lpstr>
      <vt:lpstr>Cristian Lizama</vt:lpstr>
      <vt:lpstr>Pablo Villarroel</vt:lpstr>
      <vt:lpstr>Mauricio Picart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Alejandra QUEZADA CARRASCO</cp:lastModifiedBy>
  <dcterms:created xsi:type="dcterms:W3CDTF">2026-05-29T17:29:54Z</dcterms:created>
  <dcterms:modified xsi:type="dcterms:W3CDTF">2026-06-11T17:54:21Z</dcterms:modified>
</cp:coreProperties>
</file>