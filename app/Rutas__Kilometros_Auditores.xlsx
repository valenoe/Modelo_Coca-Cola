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valen\Documents\Prieto_Correa_seguros\coca_cola\Modelo_Coca-Cola\app\"/>
    </mc:Choice>
  </mc:AlternateContent>
  <xr:revisionPtr revIDLastSave="0" documentId="13_ncr:1_{3169BC94-A2BE-4729-838D-285973419064}" xr6:coauthVersionLast="47" xr6:coauthVersionMax="47" xr10:uidLastSave="{00000000-0000-0000-0000-000000000000}"/>
  <bookViews>
    <workbookView xWindow="-96" yWindow="0" windowWidth="11712" windowHeight="12336" tabRatio="918" activeTab="3" xr2:uid="{00000000-000D-0000-FFFF-FFFF00000000}"/>
  </bookViews>
  <sheets>
    <sheet name="Carlos Acevedo" sheetId="1" r:id="rId1"/>
    <sheet name="Mauricio Picart" sheetId="2" r:id="rId2"/>
    <sheet name="Pablo Villarroel" sheetId="5" r:id="rId3"/>
    <sheet name="Samuel Inostroza" sheetId="3" r:id="rId4"/>
    <sheet name="Cristian Lizama" sheetId="4" r:id="rId5"/>
  </sheets>
  <definedNames>
    <definedName name="_xlnm._FilterDatabase" localSheetId="4" hidden="1">'Cristian Lizama'!$B$3:$D$58</definedName>
    <definedName name="_xlnm._FilterDatabase" localSheetId="1" hidden="1">'Mauricio Picart'!$B$3:$D$46</definedName>
    <definedName name="_xlnm._FilterDatabase" localSheetId="3" hidden="1">'Samuel Inostroza'!$B$3:$G$34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5" i="3" l="1"/>
  <c r="G35" i="3"/>
  <c r="E4" i="2"/>
  <c r="F46" i="4"/>
  <c r="F48" i="4" s="1"/>
  <c r="D58" i="4"/>
</calcChain>
</file>

<file path=xl/sharedStrings.xml><?xml version="1.0" encoding="utf-8"?>
<sst xmlns="http://schemas.openxmlformats.org/spreadsheetml/2006/main" count="242" uniqueCount="227">
  <si>
    <t>Universidad de Talca</t>
  </si>
  <si>
    <t>Avenida Lircay</t>
  </si>
  <si>
    <t>Nueva Holanda</t>
  </si>
  <si>
    <t>Mall Plaza Talca</t>
  </si>
  <si>
    <t>Cumpeo</t>
  </si>
  <si>
    <t>San Javier Centro</t>
  </si>
  <si>
    <t>Pencahue Batuco</t>
  </si>
  <si>
    <t>Mercado Central</t>
  </si>
  <si>
    <t>San Gerardo</t>
  </si>
  <si>
    <t>Cancha Carreras</t>
  </si>
  <si>
    <t>Corinto Gualleco</t>
  </si>
  <si>
    <t>Las Colines</t>
  </si>
  <si>
    <t>Villa Francia</t>
  </si>
  <si>
    <t>Duao Quiñipeumo</t>
  </si>
  <si>
    <t>Faustino Gonzalez</t>
  </si>
  <si>
    <t>San Clemente</t>
  </si>
  <si>
    <t>Queri Callejones</t>
  </si>
  <si>
    <t>Los Conquistadores</t>
  </si>
  <si>
    <t>Chile Nuevo</t>
  </si>
  <si>
    <t>Talca Centro</t>
  </si>
  <si>
    <t>Centro Oriente</t>
  </si>
  <si>
    <t>Población Emilio Gidi</t>
  </si>
  <si>
    <t>Población Yerbas Buenas</t>
  </si>
  <si>
    <t>Abate Molina</t>
  </si>
  <si>
    <t>Cooperativa Lircay</t>
  </si>
  <si>
    <t>Abate Molina Sur</t>
  </si>
  <si>
    <t>San Miguel del Piduco</t>
  </si>
  <si>
    <t>Barrio Norte</t>
  </si>
  <si>
    <t>Santa Ana Crea</t>
  </si>
  <si>
    <t>Salida Huapi</t>
  </si>
  <si>
    <t>Orilla de Maule</t>
  </si>
  <si>
    <t>Colbun</t>
  </si>
  <si>
    <t>Maule Sur</t>
  </si>
  <si>
    <t>San Dionisio</t>
  </si>
  <si>
    <t>Panimavida</t>
  </si>
  <si>
    <t>Supermercados Talca</t>
  </si>
  <si>
    <t>Vara Gruesa</t>
  </si>
  <si>
    <t>Linares Centro</t>
  </si>
  <si>
    <t>Linares Centro Oriente</t>
  </si>
  <si>
    <t>Terminal Linares</t>
  </si>
  <si>
    <t>Feria Oriente</t>
  </si>
  <si>
    <t>Miraflores Oriente</t>
  </si>
  <si>
    <t>Miraflores Poniente</t>
  </si>
  <si>
    <t>Longavi Centro</t>
  </si>
  <si>
    <t>Longavi Norte</t>
  </si>
  <si>
    <t>Luis Cruz Martinez</t>
  </si>
  <si>
    <t>Huapi Alto</t>
  </si>
  <si>
    <t>Población San Pablo</t>
  </si>
  <si>
    <t>RUTAS</t>
  </si>
  <si>
    <t>KLMS</t>
  </si>
  <si>
    <t>TALCA</t>
  </si>
  <si>
    <t>Auditor : CARLOS ACEVEDO MENDOZA</t>
  </si>
  <si>
    <t>Auditor : MAURICIO PICART CAÑETE</t>
  </si>
  <si>
    <t>Galilea - Doña Ignacia</t>
  </si>
  <si>
    <t>Doña Ignacia - Villa Ecuador</t>
  </si>
  <si>
    <t>Jardin del Valle</t>
  </si>
  <si>
    <t>Magisterio</t>
  </si>
  <si>
    <t>Santa Teresita Colin</t>
  </si>
  <si>
    <t>Culenar</t>
  </si>
  <si>
    <t>San Luis</t>
  </si>
  <si>
    <t>J. Flor del Este</t>
  </si>
  <si>
    <t>Centro Poniente</t>
  </si>
  <si>
    <t>Villa Eden - Independencia</t>
  </si>
  <si>
    <t>Carlos Trupp</t>
  </si>
  <si>
    <t>Doña Consuelo</t>
  </si>
  <si>
    <t>Alameda Sur</t>
  </si>
  <si>
    <t>Centro Norte</t>
  </si>
  <si>
    <t>B. Oriente - Hospital</t>
  </si>
  <si>
    <t>Parque Industrial</t>
  </si>
  <si>
    <t>Las Rastras</t>
  </si>
  <si>
    <t>Camino San Clemente</t>
  </si>
  <si>
    <t>San Maximo</t>
  </si>
  <si>
    <t>El Colorado</t>
  </si>
  <si>
    <t>San Rafael</t>
  </si>
  <si>
    <t>Camarico</t>
  </si>
  <si>
    <t>Colin</t>
  </si>
  <si>
    <t>Maule</t>
  </si>
  <si>
    <t>Estación - San Javier</t>
  </si>
  <si>
    <t>San Javier - La Palma</t>
  </si>
  <si>
    <t>Centeneja - Villa Alegre</t>
  </si>
  <si>
    <t>V.Alegre Estación - Pangal</t>
  </si>
  <si>
    <t>Centro Norte (Linares)</t>
  </si>
  <si>
    <t>A.Molina - J.M. Bari</t>
  </si>
  <si>
    <t>Longavi - Los Cristales</t>
  </si>
  <si>
    <t>Longavi - La Sexta</t>
  </si>
  <si>
    <t>Pob.Yerbas Buenas</t>
  </si>
  <si>
    <t>El Nevado - Chorrillo</t>
  </si>
  <si>
    <t>Centro Mall</t>
  </si>
  <si>
    <t>Plaza Mercado</t>
  </si>
  <si>
    <t>Cunaco - Yerbas Buenas</t>
  </si>
  <si>
    <t>Y.Buenas - Abranquil</t>
  </si>
  <si>
    <t>San Juan - Santa Elena</t>
  </si>
  <si>
    <t>Semillero - Maitencillo</t>
  </si>
  <si>
    <t>Lo Mares - Los Batros</t>
  </si>
  <si>
    <t>Auditor : PABLO VILLARROEL ORELLANA</t>
  </si>
  <si>
    <t>Independencia</t>
  </si>
  <si>
    <t>Brilla el Sol</t>
  </si>
  <si>
    <t>Daniel Rebolledo</t>
  </si>
  <si>
    <t>La Florida</t>
  </si>
  <si>
    <t>Galilea</t>
  </si>
  <si>
    <t>Pelarco</t>
  </si>
  <si>
    <t>Panguilemo</t>
  </si>
  <si>
    <t>Rembrand</t>
  </si>
  <si>
    <t>El Tabaco</t>
  </si>
  <si>
    <t>Santa Marta</t>
  </si>
  <si>
    <t>Manso de Velasco</t>
  </si>
  <si>
    <t>Don Sebastian</t>
  </si>
  <si>
    <t>Don Arturo</t>
  </si>
  <si>
    <t>Centro Talca</t>
  </si>
  <si>
    <t>Oriente Talca</t>
  </si>
  <si>
    <t>Balmaceda</t>
  </si>
  <si>
    <t>Estación</t>
  </si>
  <si>
    <t>Av. Lircay</t>
  </si>
  <si>
    <t>La Americas</t>
  </si>
  <si>
    <t>Terminal</t>
  </si>
  <si>
    <t>Padre Hurtado</t>
  </si>
  <si>
    <t>Villa la Paz</t>
  </si>
  <si>
    <t>Cancha Rayada</t>
  </si>
  <si>
    <t>Aurora de Chile</t>
  </si>
  <si>
    <t>Villa Perú</t>
  </si>
  <si>
    <t>Linares: Pob. La 35</t>
  </si>
  <si>
    <t>Linares: San Antonio</t>
  </si>
  <si>
    <t>Linares: Salida Cuellar</t>
  </si>
  <si>
    <t>Linares: Villa Alegre</t>
  </si>
  <si>
    <t>Linares: Melozal</t>
  </si>
  <si>
    <t>Linares: Palmilla</t>
  </si>
  <si>
    <t>Linares: El Esfuerzo</t>
  </si>
  <si>
    <t>Linares: Salida Huapi</t>
  </si>
  <si>
    <t>Iloca - Duao - Lipimavida</t>
  </si>
  <si>
    <t>Llico - Vichuquen</t>
  </si>
  <si>
    <t>Licantén</t>
  </si>
  <si>
    <t>Curepto</t>
  </si>
  <si>
    <t>Lora - Curepto</t>
  </si>
  <si>
    <t>Palquibudi - La Huerta</t>
  </si>
  <si>
    <t>Hualañe</t>
  </si>
  <si>
    <t>Centro Plaza</t>
  </si>
  <si>
    <t>Lontue - Sagrada Familia</t>
  </si>
  <si>
    <t>Carretera Rauquen - Avda. España</t>
  </si>
  <si>
    <t>Lontue - Pichingal - Casa Blanca</t>
  </si>
  <si>
    <t>Romeral - Los Guaicos</t>
  </si>
  <si>
    <t>Los Niches</t>
  </si>
  <si>
    <t>Villa Prat - Sagrada Familia</t>
  </si>
  <si>
    <t>Sol de Septiembre - Manuel Rodríguez</t>
  </si>
  <si>
    <t>Feria - Mall - Terminal</t>
  </si>
  <si>
    <t>Guaiquillo - Aguas Negras</t>
  </si>
  <si>
    <t>Hospital - Alameda - Mataquito</t>
  </si>
  <si>
    <t>Rauco - Comalle</t>
  </si>
  <si>
    <t>Itahue Molina Estación</t>
  </si>
  <si>
    <t>El Boldo</t>
  </si>
  <si>
    <t>Bombero Garrido - Vaticano</t>
  </si>
  <si>
    <t>La Montaña - Teno - Viluco</t>
  </si>
  <si>
    <t>Santa Fe</t>
  </si>
  <si>
    <t>Aguas Negras</t>
  </si>
  <si>
    <t>Teno - Arboleda</t>
  </si>
  <si>
    <t>Sarmiento - Rauquen</t>
  </si>
  <si>
    <t>Molina Centro Porvenir</t>
  </si>
  <si>
    <t>Bombero Garrido - Tutuquen</t>
  </si>
  <si>
    <t>Santa Lucia - Santos Martínez</t>
  </si>
  <si>
    <t>CURICÓ</t>
  </si>
  <si>
    <t>Auditor : SAMUEL INOSTROZA NAVARRO</t>
  </si>
  <si>
    <t>Linares: Obispo Camus - Yerbas Buenas</t>
  </si>
  <si>
    <t>Auditor : CRISTIAN LIZAMA VERGARA</t>
  </si>
  <si>
    <t>SAN FDO</t>
  </si>
  <si>
    <t>ANGOSTURA -  18 DE SEPTIEMBRE</t>
  </si>
  <si>
    <t xml:space="preserve">APALTA - PANIAHUE </t>
  </si>
  <si>
    <t>AUQUINCO - PUJILLAY</t>
  </si>
  <si>
    <t>CALLEJONES - NANCAGUA</t>
  </si>
  <si>
    <t>CHEPICA</t>
  </si>
  <si>
    <t xml:space="preserve">CHEPICA - LAS ALAMEDAS </t>
  </si>
  <si>
    <t xml:space="preserve">CHEPICA - QUINAHUE </t>
  </si>
  <si>
    <t>CHIMBARONGO  CENTRO</t>
  </si>
  <si>
    <t>CHIMBARONGO CENTRO PTE.</t>
  </si>
  <si>
    <t xml:space="preserve">CHIMBARONGO NORTE </t>
  </si>
  <si>
    <t>CHIMBARONGO NORTE -CENTRO</t>
  </si>
  <si>
    <t xml:space="preserve">CHIMBARONGO SUR </t>
  </si>
  <si>
    <t xml:space="preserve">CODEGUA - PEOR ES NADA </t>
  </si>
  <si>
    <t>CUNACO- CRUCE</t>
  </si>
  <si>
    <t xml:space="preserve">EL HHUIQUE - PERALILLO </t>
  </si>
  <si>
    <t>LOLOL - LA LAJUELA</t>
  </si>
  <si>
    <t xml:space="preserve">MARCGIHUE </t>
  </si>
  <si>
    <t>NANCAGUA -CENTRO</t>
  </si>
  <si>
    <t>NANCAGUA - SAN GREGORIO</t>
  </si>
  <si>
    <t>PAREDONES - LOLOL</t>
  </si>
  <si>
    <t>PERALILLO</t>
  </si>
  <si>
    <t xml:space="preserve">PICHILEMU -ALCONES </t>
  </si>
  <si>
    <t>POICHILEMU - AV.CAHUIL</t>
  </si>
  <si>
    <t>PICHILEMU - CENTRO</t>
  </si>
  <si>
    <t>PICHILEMU - COSTANERA</t>
  </si>
  <si>
    <t>PICHILEMU - INFIERNILLO</t>
  </si>
  <si>
    <t>PICHILEMU - ORIENTE</t>
  </si>
  <si>
    <t>PLACILLA</t>
  </si>
  <si>
    <t>POBLACION - PERALILLO</t>
  </si>
  <si>
    <t>PUENTE NEGRO - AGUA BUENA</t>
  </si>
  <si>
    <t>PUMANQUE - NILAHUE</t>
  </si>
  <si>
    <t xml:space="preserve">ROMA - MIRAFLORES -POLONIA </t>
  </si>
  <si>
    <t>ROMERAL - SAN JUAN - TINGURIRICA</t>
  </si>
  <si>
    <t>SAN FDO. - CENTINELA</t>
  </si>
  <si>
    <t>SAN FDO. - CENTRO</t>
  </si>
  <si>
    <t>SAN FDO. CENTRO 2</t>
  </si>
  <si>
    <t>SAN FDO. CENTRO - PLAZA</t>
  </si>
  <si>
    <t>SAN FDO. - MANSO DE VELASCO</t>
  </si>
  <si>
    <t>SAN FDO, - GABRIELA MISTRAL</t>
  </si>
  <si>
    <t xml:space="preserve">SAN FDO. - INDEPENDENCIA </t>
  </si>
  <si>
    <t>SAN FDO. - NOR PONIENTE</t>
  </si>
  <si>
    <t>SAN FDO. - ORIENTE</t>
  </si>
  <si>
    <t>SAN FDO.  -SAN HERNAN</t>
  </si>
  <si>
    <t>SAN FDO SUR</t>
  </si>
  <si>
    <t>SAN  FDO. - SUR PONIENTE</t>
  </si>
  <si>
    <t>SAN FDO. SUR PONIENTE 2</t>
  </si>
  <si>
    <t>SAN FDO. TERMINAL</t>
  </si>
  <si>
    <t xml:space="preserve">STA CRUZ  - AV. ERRAZURIZ </t>
  </si>
  <si>
    <t>STA CRUZ - BARREALES - PALMILLA</t>
  </si>
  <si>
    <t>SATA .CRUZ ORIENTE</t>
  </si>
  <si>
    <t xml:space="preserve">STA CRUZ PONIENTE </t>
  </si>
  <si>
    <t xml:space="preserve">STA CRUZ SUR </t>
  </si>
  <si>
    <t xml:space="preserve">STA CRUZ TERMINAL </t>
  </si>
  <si>
    <t xml:space="preserve">VILLA ALEGRE - LA TUNA </t>
  </si>
  <si>
    <t>CANT</t>
  </si>
  <si>
    <t>Don Gonzalo</t>
  </si>
  <si>
    <t>Linares: Centro Sur Linares</t>
  </si>
  <si>
    <t>Linares: Villa Alegre Centro</t>
  </si>
  <si>
    <t>Linares: Centro Brasil</t>
  </si>
  <si>
    <t>Brilla el Sol, Daniel Rebolledo</t>
  </si>
  <si>
    <t>activo</t>
  </si>
  <si>
    <t xml:space="preserve">mayo </t>
  </si>
  <si>
    <t>junio</t>
  </si>
  <si>
    <t>julio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</si>
</sst>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 Light"/>
      <family val="2"/>
    </font>
    <font>
      <b/>
      <sz val="11"/>
      <color theme="1"/>
      <name val="Calibri Light"/>
      <family val="2"/>
      <scheme val="major"/>
    </font>
    <font>
      <u/>
      <sz val="11"/>
      <color theme="1"/>
      <name val="Calibri Light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3" borderId="0" xfId="0" applyFont="1" applyFill="1"/>
    <xf numFmtId="0" fontId="1" fillId="3" borderId="0" xfId="0" applyFont="1" applyFill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  <xf numFmtId="0" fontId="2" fillId="0" borderId="0" xfId="0" applyFont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51"/>
  <sheetViews>
    <sheetView topLeftCell="A11" zoomScaleNormal="100" workbookViewId="0">
      <selection activeCell="D4" sqref="D4"/>
    </sheetView>
  </sheetViews>
  <sheetFormatPr baseColWidth="10" defaultRowHeight="14.4" x14ac:dyDescent="0.3"/>
  <cols>
    <col min="1" max="1" width="5.109375" customWidth="1"/>
    <col min="2" max="2" width="3.88671875" customWidth="1"/>
    <col min="3" max="3" width="34.88671875" bestFit="1" customWidth="1"/>
    <col min="4" max="4" width="10.88671875" style="1"/>
  </cols>
  <sheetData>
    <row r="1" spans="2:5" x14ac:dyDescent="0.3">
      <c r="B1" s="2"/>
      <c r="C1" s="2" t="s">
        <v>51</v>
      </c>
      <c r="D1" s="3" t="s">
        <v>50</v>
      </c>
      <c r="E1" s="4"/>
    </row>
    <row r="2" spans="2:5" x14ac:dyDescent="0.3">
      <c r="B2" s="4"/>
      <c r="C2" s="4"/>
      <c r="D2" s="5"/>
      <c r="E2" s="4"/>
    </row>
    <row r="3" spans="2:5" x14ac:dyDescent="0.3">
      <c r="B3" s="6"/>
      <c r="C3" s="6" t="s">
        <v>48</v>
      </c>
      <c r="D3" s="7" t="s">
        <v>49</v>
      </c>
      <c r="E3" s="4"/>
    </row>
    <row r="4" spans="2:5" x14ac:dyDescent="0.3">
      <c r="B4">
        <v>1</v>
      </c>
      <c r="C4" t="s">
        <v>0</v>
      </c>
      <c r="D4" s="1">
        <v>55</v>
      </c>
    </row>
    <row r="5" spans="2:5" x14ac:dyDescent="0.3">
      <c r="B5">
        <v>2</v>
      </c>
      <c r="C5" t="s">
        <v>1</v>
      </c>
      <c r="D5" s="1">
        <v>55</v>
      </c>
    </row>
    <row r="6" spans="2:5" x14ac:dyDescent="0.3">
      <c r="B6">
        <v>3</v>
      </c>
      <c r="C6" t="s">
        <v>2</v>
      </c>
      <c r="D6" s="1">
        <v>60</v>
      </c>
    </row>
    <row r="7" spans="2:5" x14ac:dyDescent="0.3">
      <c r="B7">
        <v>4</v>
      </c>
      <c r="C7" t="s">
        <v>3</v>
      </c>
      <c r="D7" s="1">
        <v>60</v>
      </c>
    </row>
    <row r="8" spans="2:5" x14ac:dyDescent="0.3">
      <c r="B8">
        <v>5</v>
      </c>
      <c r="C8" t="s">
        <v>4</v>
      </c>
      <c r="D8" s="1">
        <v>160</v>
      </c>
    </row>
    <row r="9" spans="2:5" x14ac:dyDescent="0.3">
      <c r="B9">
        <v>6</v>
      </c>
      <c r="C9" t="s">
        <v>5</v>
      </c>
      <c r="D9" s="1">
        <v>89</v>
      </c>
    </row>
    <row r="10" spans="2:5" x14ac:dyDescent="0.3">
      <c r="B10">
        <v>7</v>
      </c>
      <c r="C10" t="s">
        <v>6</v>
      </c>
      <c r="D10" s="1">
        <v>140</v>
      </c>
    </row>
    <row r="11" spans="2:5" x14ac:dyDescent="0.3">
      <c r="B11">
        <v>8</v>
      </c>
      <c r="C11" t="s">
        <v>7</v>
      </c>
      <c r="D11" s="1">
        <v>60</v>
      </c>
    </row>
    <row r="12" spans="2:5" x14ac:dyDescent="0.3">
      <c r="B12">
        <v>9</v>
      </c>
      <c r="C12" t="s">
        <v>8</v>
      </c>
      <c r="D12" s="1">
        <v>160</v>
      </c>
    </row>
    <row r="13" spans="2:5" x14ac:dyDescent="0.3">
      <c r="B13">
        <v>10</v>
      </c>
      <c r="C13" t="s">
        <v>9</v>
      </c>
      <c r="D13" s="1">
        <v>89</v>
      </c>
    </row>
    <row r="14" spans="2:5" x14ac:dyDescent="0.3">
      <c r="B14">
        <v>11</v>
      </c>
      <c r="C14" t="s">
        <v>10</v>
      </c>
      <c r="D14" s="1">
        <v>140</v>
      </c>
    </row>
    <row r="15" spans="2:5" x14ac:dyDescent="0.3">
      <c r="B15">
        <v>12</v>
      </c>
      <c r="C15" t="s">
        <v>11</v>
      </c>
      <c r="D15" s="1">
        <v>65</v>
      </c>
    </row>
    <row r="16" spans="2:5" x14ac:dyDescent="0.3">
      <c r="B16">
        <v>13</v>
      </c>
      <c r="C16" t="s">
        <v>12</v>
      </c>
      <c r="D16" s="1">
        <v>65</v>
      </c>
    </row>
    <row r="17" spans="2:4" x14ac:dyDescent="0.3">
      <c r="B17">
        <v>14</v>
      </c>
      <c r="C17" t="s">
        <v>13</v>
      </c>
      <c r="D17" s="1">
        <v>130</v>
      </c>
    </row>
    <row r="18" spans="2:4" x14ac:dyDescent="0.3">
      <c r="B18">
        <v>15</v>
      </c>
      <c r="C18" t="s">
        <v>14</v>
      </c>
      <c r="D18" s="1">
        <v>50</v>
      </c>
    </row>
    <row r="19" spans="2:4" x14ac:dyDescent="0.3">
      <c r="B19">
        <v>16</v>
      </c>
      <c r="C19" t="s">
        <v>15</v>
      </c>
      <c r="D19" s="1">
        <v>85</v>
      </c>
    </row>
    <row r="20" spans="2:4" x14ac:dyDescent="0.3">
      <c r="B20">
        <v>17</v>
      </c>
      <c r="C20" t="s">
        <v>16</v>
      </c>
      <c r="D20" s="1">
        <v>130</v>
      </c>
    </row>
    <row r="21" spans="2:4" x14ac:dyDescent="0.3">
      <c r="B21">
        <v>18</v>
      </c>
      <c r="C21" t="s">
        <v>17</v>
      </c>
      <c r="D21" s="1">
        <v>50</v>
      </c>
    </row>
    <row r="22" spans="2:4" x14ac:dyDescent="0.3">
      <c r="B22">
        <v>19</v>
      </c>
      <c r="C22" t="s">
        <v>18</v>
      </c>
      <c r="D22" s="1">
        <v>85</v>
      </c>
    </row>
    <row r="23" spans="2:4" x14ac:dyDescent="0.3">
      <c r="B23">
        <v>20</v>
      </c>
      <c r="C23" t="s">
        <v>19</v>
      </c>
      <c r="D23" s="1">
        <v>65</v>
      </c>
    </row>
    <row r="24" spans="2:4" x14ac:dyDescent="0.3">
      <c r="B24">
        <v>21</v>
      </c>
      <c r="C24" t="s">
        <v>20</v>
      </c>
      <c r="D24" s="1">
        <v>65</v>
      </c>
    </row>
    <row r="25" spans="2:4" x14ac:dyDescent="0.3">
      <c r="B25">
        <v>22</v>
      </c>
      <c r="C25" t="s">
        <v>21</v>
      </c>
      <c r="D25" s="1">
        <v>160</v>
      </c>
    </row>
    <row r="26" spans="2:4" x14ac:dyDescent="0.3">
      <c r="B26">
        <v>23</v>
      </c>
      <c r="C26" t="s">
        <v>22</v>
      </c>
      <c r="D26" s="1">
        <v>160</v>
      </c>
    </row>
    <row r="27" spans="2:4" x14ac:dyDescent="0.3">
      <c r="B27">
        <v>24</v>
      </c>
      <c r="C27" t="s">
        <v>23</v>
      </c>
      <c r="D27" s="1">
        <v>65</v>
      </c>
    </row>
    <row r="28" spans="2:4" x14ac:dyDescent="0.3">
      <c r="B28">
        <v>25</v>
      </c>
      <c r="C28" t="s">
        <v>24</v>
      </c>
      <c r="D28" s="1">
        <v>60</v>
      </c>
    </row>
    <row r="29" spans="2:4" x14ac:dyDescent="0.3">
      <c r="B29">
        <v>26</v>
      </c>
      <c r="C29" t="s">
        <v>25</v>
      </c>
      <c r="D29" s="1">
        <v>65</v>
      </c>
    </row>
    <row r="30" spans="2:4" x14ac:dyDescent="0.3">
      <c r="B30">
        <v>27</v>
      </c>
      <c r="C30" t="s">
        <v>26</v>
      </c>
      <c r="D30" s="1">
        <v>60</v>
      </c>
    </row>
    <row r="31" spans="2:4" x14ac:dyDescent="0.3">
      <c r="B31">
        <v>28</v>
      </c>
      <c r="C31" t="s">
        <v>27</v>
      </c>
      <c r="D31" s="1">
        <v>65</v>
      </c>
    </row>
    <row r="32" spans="2:4" x14ac:dyDescent="0.3">
      <c r="B32">
        <v>29</v>
      </c>
      <c r="C32" t="s">
        <v>28</v>
      </c>
      <c r="D32" s="1">
        <v>65</v>
      </c>
    </row>
    <row r="33" spans="2:4" x14ac:dyDescent="0.3">
      <c r="B33">
        <v>30</v>
      </c>
      <c r="C33" t="s">
        <v>29</v>
      </c>
      <c r="D33" s="1">
        <v>160</v>
      </c>
    </row>
    <row r="34" spans="2:4" x14ac:dyDescent="0.3">
      <c r="B34">
        <v>31</v>
      </c>
      <c r="C34" t="s">
        <v>46</v>
      </c>
      <c r="D34" s="1">
        <v>160</v>
      </c>
    </row>
    <row r="35" spans="2:4" x14ac:dyDescent="0.3">
      <c r="B35">
        <v>32</v>
      </c>
      <c r="C35" t="s">
        <v>30</v>
      </c>
      <c r="D35" s="1">
        <v>130</v>
      </c>
    </row>
    <row r="36" spans="2:4" x14ac:dyDescent="0.3">
      <c r="B36">
        <v>33</v>
      </c>
      <c r="C36" t="s">
        <v>31</v>
      </c>
      <c r="D36" s="1">
        <v>250</v>
      </c>
    </row>
    <row r="37" spans="2:4" x14ac:dyDescent="0.3">
      <c r="B37">
        <v>34</v>
      </c>
      <c r="C37" t="s">
        <v>32</v>
      </c>
      <c r="D37" s="1">
        <v>180</v>
      </c>
    </row>
    <row r="38" spans="2:4" x14ac:dyDescent="0.3">
      <c r="B38">
        <v>35</v>
      </c>
      <c r="C38" t="s">
        <v>33</v>
      </c>
      <c r="D38" s="1">
        <v>250</v>
      </c>
    </row>
    <row r="39" spans="2:4" x14ac:dyDescent="0.3">
      <c r="B39">
        <v>36</v>
      </c>
      <c r="C39" t="s">
        <v>34</v>
      </c>
      <c r="D39" s="1">
        <v>250</v>
      </c>
    </row>
    <row r="40" spans="2:4" x14ac:dyDescent="0.3">
      <c r="B40">
        <v>37</v>
      </c>
      <c r="C40" t="s">
        <v>35</v>
      </c>
      <c r="D40" s="1">
        <v>65</v>
      </c>
    </row>
    <row r="41" spans="2:4" x14ac:dyDescent="0.3">
      <c r="B41">
        <v>38</v>
      </c>
      <c r="C41" t="s">
        <v>36</v>
      </c>
      <c r="D41" s="1">
        <v>250</v>
      </c>
    </row>
    <row r="42" spans="2:4" x14ac:dyDescent="0.3">
      <c r="B42">
        <v>39</v>
      </c>
      <c r="C42" t="s">
        <v>37</v>
      </c>
      <c r="D42" s="1">
        <v>150</v>
      </c>
    </row>
    <row r="43" spans="2:4" x14ac:dyDescent="0.3">
      <c r="B43">
        <v>40</v>
      </c>
      <c r="C43" t="s">
        <v>38</v>
      </c>
      <c r="D43" s="1">
        <v>150</v>
      </c>
    </row>
    <row r="44" spans="2:4" x14ac:dyDescent="0.3">
      <c r="B44">
        <v>41</v>
      </c>
      <c r="C44" t="s">
        <v>39</v>
      </c>
      <c r="D44" s="1">
        <v>150</v>
      </c>
    </row>
    <row r="45" spans="2:4" x14ac:dyDescent="0.3">
      <c r="B45">
        <v>42</v>
      </c>
      <c r="C45" t="s">
        <v>40</v>
      </c>
      <c r="D45" s="1">
        <v>150</v>
      </c>
    </row>
    <row r="46" spans="2:4" x14ac:dyDescent="0.3">
      <c r="B46">
        <v>43</v>
      </c>
      <c r="C46" t="s">
        <v>41</v>
      </c>
      <c r="D46" s="1">
        <v>220</v>
      </c>
    </row>
    <row r="47" spans="2:4" x14ac:dyDescent="0.3">
      <c r="B47">
        <v>44</v>
      </c>
      <c r="C47" t="s">
        <v>42</v>
      </c>
      <c r="D47" s="1">
        <v>220</v>
      </c>
    </row>
    <row r="48" spans="2:4" x14ac:dyDescent="0.3">
      <c r="B48">
        <v>45</v>
      </c>
      <c r="C48" t="s">
        <v>43</v>
      </c>
      <c r="D48" s="1">
        <v>220</v>
      </c>
    </row>
    <row r="49" spans="2:4" x14ac:dyDescent="0.3">
      <c r="B49">
        <v>46</v>
      </c>
      <c r="C49" t="s">
        <v>44</v>
      </c>
      <c r="D49" s="1">
        <v>220</v>
      </c>
    </row>
    <row r="50" spans="2:4" x14ac:dyDescent="0.3">
      <c r="B50">
        <v>47</v>
      </c>
      <c r="C50" t="s">
        <v>47</v>
      </c>
      <c r="D50" s="1">
        <v>165</v>
      </c>
    </row>
    <row r="51" spans="2:4" x14ac:dyDescent="0.3">
      <c r="B51">
        <v>48</v>
      </c>
      <c r="C51" t="s">
        <v>45</v>
      </c>
      <c r="D51" s="1">
        <v>165</v>
      </c>
    </row>
  </sheetData>
  <pageMargins left="0.7" right="0.7" top="0.14000000000000001" bottom="0.17" header="0.14000000000000001" footer="0.26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E46"/>
  <sheetViews>
    <sheetView workbookViewId="0">
      <selection activeCell="E4" sqref="E4"/>
    </sheetView>
  </sheetViews>
  <sheetFormatPr baseColWidth="10" defaultRowHeight="14.4" x14ac:dyDescent="0.3"/>
  <cols>
    <col min="1" max="1" width="5.109375" customWidth="1"/>
    <col min="2" max="2" width="3.88671875" customWidth="1"/>
    <col min="3" max="3" width="33" bestFit="1" customWidth="1"/>
    <col min="4" max="4" width="10.88671875" style="1"/>
    <col min="5" max="5" width="11.21875" bestFit="1" customWidth="1"/>
  </cols>
  <sheetData>
    <row r="1" spans="2:5" s="4" customFormat="1" x14ac:dyDescent="0.3">
      <c r="B1" s="2"/>
      <c r="C1" s="2" t="s">
        <v>52</v>
      </c>
      <c r="D1" s="3" t="s">
        <v>50</v>
      </c>
    </row>
    <row r="2" spans="2:5" s="4" customFormat="1" x14ac:dyDescent="0.3">
      <c r="D2" s="5"/>
    </row>
    <row r="3" spans="2:5" s="4" customFormat="1" x14ac:dyDescent="0.3">
      <c r="B3" s="6"/>
      <c r="C3" s="6" t="s">
        <v>48</v>
      </c>
      <c r="D3" s="7" t="s">
        <v>49</v>
      </c>
    </row>
    <row r="4" spans="2:5" x14ac:dyDescent="0.3">
      <c r="B4">
        <v>15</v>
      </c>
      <c r="C4" t="s">
        <v>67</v>
      </c>
      <c r="D4" s="8">
        <v>58</v>
      </c>
      <c r="E4" s="9">
        <f>SUM(D4:D24)</f>
        <v>1491</v>
      </c>
    </row>
    <row r="5" spans="2:5" x14ac:dyDescent="0.3">
      <c r="B5">
        <v>16</v>
      </c>
      <c r="C5" t="s">
        <v>68</v>
      </c>
      <c r="D5" s="8">
        <v>58</v>
      </c>
    </row>
    <row r="6" spans="2:5" x14ac:dyDescent="0.3">
      <c r="B6">
        <v>13</v>
      </c>
      <c r="C6" t="s">
        <v>65</v>
      </c>
      <c r="D6" s="8">
        <v>60</v>
      </c>
    </row>
    <row r="7" spans="2:5" x14ac:dyDescent="0.3">
      <c r="B7">
        <v>14</v>
      </c>
      <c r="C7" t="s">
        <v>66</v>
      </c>
      <c r="D7" s="8">
        <v>60</v>
      </c>
    </row>
    <row r="8" spans="2:5" x14ac:dyDescent="0.3">
      <c r="B8">
        <v>1</v>
      </c>
      <c r="C8" t="s">
        <v>53</v>
      </c>
      <c r="D8" s="8">
        <v>65</v>
      </c>
    </row>
    <row r="9" spans="2:5" x14ac:dyDescent="0.3">
      <c r="B9">
        <v>2</v>
      </c>
      <c r="C9" t="s">
        <v>54</v>
      </c>
      <c r="D9" s="8">
        <v>65</v>
      </c>
    </row>
    <row r="10" spans="2:5" x14ac:dyDescent="0.3">
      <c r="B10">
        <v>7</v>
      </c>
      <c r="C10" t="s">
        <v>59</v>
      </c>
      <c r="D10" s="8">
        <v>65</v>
      </c>
    </row>
    <row r="11" spans="2:5" x14ac:dyDescent="0.3">
      <c r="B11">
        <v>8</v>
      </c>
      <c r="C11" t="s">
        <v>60</v>
      </c>
      <c r="D11" s="8">
        <v>65</v>
      </c>
    </row>
    <row r="12" spans="2:5" x14ac:dyDescent="0.3">
      <c r="B12">
        <v>11</v>
      </c>
      <c r="C12" t="s">
        <v>63</v>
      </c>
      <c r="D12" s="8">
        <v>65</v>
      </c>
    </row>
    <row r="13" spans="2:5" x14ac:dyDescent="0.3">
      <c r="B13">
        <v>12</v>
      </c>
      <c r="C13" t="s">
        <v>64</v>
      </c>
      <c r="D13" s="8">
        <v>65</v>
      </c>
    </row>
    <row r="14" spans="2:5" x14ac:dyDescent="0.3">
      <c r="B14">
        <v>3</v>
      </c>
      <c r="C14" t="s">
        <v>55</v>
      </c>
      <c r="D14" s="8">
        <v>70</v>
      </c>
    </row>
    <row r="15" spans="2:5" x14ac:dyDescent="0.3">
      <c r="B15">
        <v>4</v>
      </c>
      <c r="C15" t="s">
        <v>56</v>
      </c>
      <c r="D15" s="8">
        <v>70</v>
      </c>
    </row>
    <row r="16" spans="2:5" x14ac:dyDescent="0.3">
      <c r="B16">
        <v>9</v>
      </c>
      <c r="C16" t="s">
        <v>61</v>
      </c>
      <c r="D16" s="8">
        <v>70</v>
      </c>
    </row>
    <row r="17" spans="2:4" x14ac:dyDescent="0.3">
      <c r="B17">
        <v>10</v>
      </c>
      <c r="C17" t="s">
        <v>62</v>
      </c>
      <c r="D17" s="8">
        <v>70</v>
      </c>
    </row>
    <row r="18" spans="2:4" x14ac:dyDescent="0.3">
      <c r="B18">
        <v>5</v>
      </c>
      <c r="C18" t="s">
        <v>57</v>
      </c>
      <c r="D18" s="8">
        <v>75</v>
      </c>
    </row>
    <row r="19" spans="2:4" x14ac:dyDescent="0.3">
      <c r="B19">
        <v>6</v>
      </c>
      <c r="C19" t="s">
        <v>58</v>
      </c>
      <c r="D19" s="8">
        <v>75</v>
      </c>
    </row>
    <row r="20" spans="2:4" x14ac:dyDescent="0.3">
      <c r="B20">
        <v>17</v>
      </c>
      <c r="C20" t="s">
        <v>69</v>
      </c>
      <c r="D20" s="8">
        <v>80</v>
      </c>
    </row>
    <row r="21" spans="2:4" x14ac:dyDescent="0.3">
      <c r="B21">
        <v>18</v>
      </c>
      <c r="C21" t="s">
        <v>70</v>
      </c>
      <c r="D21" s="8">
        <v>80</v>
      </c>
    </row>
    <row r="22" spans="2:4" x14ac:dyDescent="0.3">
      <c r="B22">
        <v>27</v>
      </c>
      <c r="C22" t="s">
        <v>78</v>
      </c>
      <c r="D22" s="8">
        <v>90</v>
      </c>
    </row>
    <row r="23" spans="2:4" x14ac:dyDescent="0.3">
      <c r="B23">
        <v>28</v>
      </c>
      <c r="C23" t="s">
        <v>5</v>
      </c>
      <c r="D23" s="8">
        <v>90</v>
      </c>
    </row>
    <row r="24" spans="2:4" x14ac:dyDescent="0.3">
      <c r="B24">
        <v>23</v>
      </c>
      <c r="C24" t="s">
        <v>75</v>
      </c>
      <c r="D24" s="8">
        <v>95</v>
      </c>
    </row>
    <row r="25" spans="2:4" x14ac:dyDescent="0.3">
      <c r="B25">
        <v>24</v>
      </c>
      <c r="C25" t="s">
        <v>76</v>
      </c>
      <c r="D25" s="8">
        <v>95</v>
      </c>
    </row>
    <row r="26" spans="2:4" x14ac:dyDescent="0.3">
      <c r="B26">
        <v>25</v>
      </c>
      <c r="C26" t="s">
        <v>30</v>
      </c>
      <c r="D26" s="8">
        <v>95</v>
      </c>
    </row>
    <row r="27" spans="2:4" x14ac:dyDescent="0.3">
      <c r="B27">
        <v>26</v>
      </c>
      <c r="C27" t="s">
        <v>77</v>
      </c>
      <c r="D27" s="8">
        <v>95</v>
      </c>
    </row>
    <row r="28" spans="2:4" x14ac:dyDescent="0.3">
      <c r="B28">
        <v>29</v>
      </c>
      <c r="C28" t="s">
        <v>79</v>
      </c>
      <c r="D28" s="8">
        <v>145</v>
      </c>
    </row>
    <row r="29" spans="2:4" x14ac:dyDescent="0.3">
      <c r="B29">
        <v>30</v>
      </c>
      <c r="C29" t="s">
        <v>80</v>
      </c>
      <c r="D29" s="8">
        <v>145</v>
      </c>
    </row>
    <row r="30" spans="2:4" x14ac:dyDescent="0.3">
      <c r="B30">
        <v>37</v>
      </c>
      <c r="C30" t="s">
        <v>87</v>
      </c>
      <c r="D30" s="8">
        <v>145</v>
      </c>
    </row>
    <row r="31" spans="2:4" x14ac:dyDescent="0.3">
      <c r="B31">
        <v>38</v>
      </c>
      <c r="C31" t="s">
        <v>88</v>
      </c>
      <c r="D31" s="8">
        <v>145</v>
      </c>
    </row>
    <row r="32" spans="2:4" x14ac:dyDescent="0.3">
      <c r="B32">
        <v>31</v>
      </c>
      <c r="C32" t="s">
        <v>81</v>
      </c>
      <c r="D32" s="8">
        <v>160</v>
      </c>
    </row>
    <row r="33" spans="2:4" x14ac:dyDescent="0.3">
      <c r="B33">
        <v>32</v>
      </c>
      <c r="C33" t="s">
        <v>82</v>
      </c>
      <c r="D33" s="8">
        <v>160</v>
      </c>
    </row>
    <row r="34" spans="2:4" x14ac:dyDescent="0.3">
      <c r="B34">
        <v>43</v>
      </c>
      <c r="C34" t="s">
        <v>93</v>
      </c>
      <c r="D34" s="8">
        <v>160</v>
      </c>
    </row>
    <row r="35" spans="2:4" x14ac:dyDescent="0.3">
      <c r="B35">
        <v>35</v>
      </c>
      <c r="C35" t="s">
        <v>85</v>
      </c>
      <c r="D35" s="8">
        <v>170</v>
      </c>
    </row>
    <row r="36" spans="2:4" x14ac:dyDescent="0.3">
      <c r="B36">
        <v>36</v>
      </c>
      <c r="C36" t="s">
        <v>86</v>
      </c>
      <c r="D36" s="8">
        <v>170</v>
      </c>
    </row>
    <row r="37" spans="2:4" x14ac:dyDescent="0.3">
      <c r="B37">
        <v>21</v>
      </c>
      <c r="C37" t="s">
        <v>73</v>
      </c>
      <c r="D37" s="8">
        <v>175</v>
      </c>
    </row>
    <row r="38" spans="2:4" x14ac:dyDescent="0.3">
      <c r="B38">
        <v>22</v>
      </c>
      <c r="C38" t="s">
        <v>74</v>
      </c>
      <c r="D38" s="8">
        <v>175</v>
      </c>
    </row>
    <row r="39" spans="2:4" x14ac:dyDescent="0.3">
      <c r="B39">
        <v>19</v>
      </c>
      <c r="C39" t="s">
        <v>71</v>
      </c>
      <c r="D39" s="8">
        <v>180</v>
      </c>
    </row>
    <row r="40" spans="2:4" x14ac:dyDescent="0.3">
      <c r="B40">
        <v>20</v>
      </c>
      <c r="C40" t="s">
        <v>72</v>
      </c>
      <c r="D40" s="8">
        <v>180</v>
      </c>
    </row>
    <row r="41" spans="2:4" x14ac:dyDescent="0.3">
      <c r="B41">
        <v>39</v>
      </c>
      <c r="C41" t="s">
        <v>89</v>
      </c>
      <c r="D41" s="8">
        <v>220</v>
      </c>
    </row>
    <row r="42" spans="2:4" x14ac:dyDescent="0.3">
      <c r="B42">
        <v>40</v>
      </c>
      <c r="C42" t="s">
        <v>90</v>
      </c>
      <c r="D42" s="8">
        <v>220</v>
      </c>
    </row>
    <row r="43" spans="2:4" x14ac:dyDescent="0.3">
      <c r="B43">
        <v>41</v>
      </c>
      <c r="C43" t="s">
        <v>91</v>
      </c>
      <c r="D43" s="8">
        <v>260</v>
      </c>
    </row>
    <row r="44" spans="2:4" x14ac:dyDescent="0.3">
      <c r="B44">
        <v>42</v>
      </c>
      <c r="C44" t="s">
        <v>92</v>
      </c>
      <c r="D44" s="8">
        <v>260</v>
      </c>
    </row>
    <row r="45" spans="2:4" x14ac:dyDescent="0.3">
      <c r="B45">
        <v>33</v>
      </c>
      <c r="C45" t="s">
        <v>83</v>
      </c>
      <c r="D45" s="8">
        <v>275</v>
      </c>
    </row>
    <row r="46" spans="2:4" x14ac:dyDescent="0.3">
      <c r="B46">
        <v>34</v>
      </c>
      <c r="C46" t="s">
        <v>84</v>
      </c>
      <c r="D46" s="8">
        <v>275</v>
      </c>
    </row>
  </sheetData>
  <autoFilter ref="B3:D46" xr:uid="{00000000-0001-0000-0100-000000000000}">
    <sortState xmlns:xlrd2="http://schemas.microsoft.com/office/spreadsheetml/2017/richdata2" ref="B4:D46">
      <sortCondition ref="D3:D46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E46"/>
  <sheetViews>
    <sheetView topLeftCell="C27" workbookViewId="0">
      <selection activeCell="F7" sqref="F7"/>
    </sheetView>
  </sheetViews>
  <sheetFormatPr baseColWidth="10" defaultRowHeight="14.4" x14ac:dyDescent="0.3"/>
  <cols>
    <col min="1" max="1" width="5.109375" customWidth="1"/>
    <col min="2" max="2" width="3.88671875" customWidth="1"/>
    <col min="3" max="3" width="35.88671875" bestFit="1" customWidth="1"/>
    <col min="4" max="4" width="10.88671875" style="1"/>
  </cols>
  <sheetData>
    <row r="1" spans="2:5" s="4" customFormat="1" x14ac:dyDescent="0.3">
      <c r="B1" s="2"/>
      <c r="C1" s="2" t="s">
        <v>94</v>
      </c>
      <c r="D1" s="3" t="s">
        <v>50</v>
      </c>
    </row>
    <row r="2" spans="2:5" s="4" customFormat="1" x14ac:dyDescent="0.3">
      <c r="D2" s="5"/>
    </row>
    <row r="3" spans="2:5" s="4" customFormat="1" x14ac:dyDescent="0.3">
      <c r="B3" s="6"/>
      <c r="C3" s="6" t="s">
        <v>48</v>
      </c>
      <c r="D3" s="7" t="s">
        <v>49</v>
      </c>
      <c r="E3" s="4" t="s">
        <v>223</v>
      </c>
    </row>
    <row r="4" spans="2:5" x14ac:dyDescent="0.3">
      <c r="B4">
        <v>1</v>
      </c>
      <c r="C4" t="s">
        <v>23</v>
      </c>
      <c r="D4" s="1">
        <v>60</v>
      </c>
    </row>
    <row r="5" spans="2:5" x14ac:dyDescent="0.3">
      <c r="B5">
        <v>2</v>
      </c>
      <c r="C5" t="s">
        <v>95</v>
      </c>
      <c r="D5" s="1">
        <v>60</v>
      </c>
    </row>
    <row r="6" spans="2:5" x14ac:dyDescent="0.3">
      <c r="B6">
        <v>3</v>
      </c>
      <c r="C6" t="s">
        <v>96</v>
      </c>
      <c r="D6" s="1">
        <v>62</v>
      </c>
      <c r="E6">
        <v>0</v>
      </c>
    </row>
    <row r="7" spans="2:5" x14ac:dyDescent="0.3">
      <c r="B7">
        <v>4</v>
      </c>
      <c r="C7" t="s">
        <v>97</v>
      </c>
      <c r="D7" s="1">
        <v>62</v>
      </c>
      <c r="E7">
        <v>0</v>
      </c>
    </row>
    <row r="8" spans="2:5" x14ac:dyDescent="0.3">
      <c r="B8">
        <v>5</v>
      </c>
      <c r="C8" t="s">
        <v>98</v>
      </c>
      <c r="D8" s="1">
        <v>70</v>
      </c>
    </row>
    <row r="9" spans="2:5" x14ac:dyDescent="0.3">
      <c r="B9">
        <v>6</v>
      </c>
      <c r="C9" t="s">
        <v>99</v>
      </c>
      <c r="D9" s="1">
        <v>70</v>
      </c>
    </row>
    <row r="10" spans="2:5" x14ac:dyDescent="0.3">
      <c r="B10">
        <v>7</v>
      </c>
      <c r="C10" t="s">
        <v>100</v>
      </c>
      <c r="D10" s="1">
        <v>118</v>
      </c>
      <c r="E10">
        <v>1</v>
      </c>
    </row>
    <row r="11" spans="2:5" x14ac:dyDescent="0.3">
      <c r="B11">
        <v>8</v>
      </c>
      <c r="C11" t="s">
        <v>101</v>
      </c>
      <c r="D11" s="1">
        <v>118</v>
      </c>
      <c r="E11">
        <v>1</v>
      </c>
    </row>
    <row r="12" spans="2:5" x14ac:dyDescent="0.3">
      <c r="B12">
        <v>9</v>
      </c>
      <c r="C12" t="s">
        <v>102</v>
      </c>
      <c r="D12" s="1">
        <v>75</v>
      </c>
      <c r="E12">
        <v>1</v>
      </c>
    </row>
    <row r="13" spans="2:5" x14ac:dyDescent="0.3">
      <c r="B13">
        <v>10</v>
      </c>
      <c r="C13" t="s">
        <v>103</v>
      </c>
      <c r="D13" s="1">
        <v>75</v>
      </c>
      <c r="E13">
        <v>1</v>
      </c>
    </row>
    <row r="14" spans="2:5" x14ac:dyDescent="0.3">
      <c r="B14">
        <v>11</v>
      </c>
      <c r="C14" t="s">
        <v>104</v>
      </c>
      <c r="D14" s="1">
        <v>62</v>
      </c>
    </row>
    <row r="15" spans="2:5" x14ac:dyDescent="0.3">
      <c r="B15">
        <v>12</v>
      </c>
      <c r="C15" t="s">
        <v>105</v>
      </c>
      <c r="D15" s="1">
        <v>62</v>
      </c>
    </row>
    <row r="16" spans="2:5" x14ac:dyDescent="0.3">
      <c r="B16">
        <v>13</v>
      </c>
      <c r="C16" t="s">
        <v>106</v>
      </c>
      <c r="D16" s="1">
        <v>60</v>
      </c>
      <c r="E16">
        <v>1</v>
      </c>
    </row>
    <row r="17" spans="2:5" x14ac:dyDescent="0.3">
      <c r="B17">
        <v>14</v>
      </c>
      <c r="C17" t="s">
        <v>107</v>
      </c>
      <c r="D17" s="1">
        <v>60</v>
      </c>
      <c r="E17">
        <v>1</v>
      </c>
    </row>
    <row r="18" spans="2:5" x14ac:dyDescent="0.3">
      <c r="B18">
        <v>15</v>
      </c>
      <c r="C18" t="s">
        <v>108</v>
      </c>
      <c r="D18" s="1">
        <v>65</v>
      </c>
    </row>
    <row r="19" spans="2:5" x14ac:dyDescent="0.3">
      <c r="B19">
        <v>16</v>
      </c>
      <c r="C19" t="s">
        <v>109</v>
      </c>
      <c r="D19" s="1">
        <v>65</v>
      </c>
    </row>
    <row r="20" spans="2:5" x14ac:dyDescent="0.3">
      <c r="B20">
        <v>17</v>
      </c>
      <c r="C20" s="11" t="s">
        <v>110</v>
      </c>
      <c r="D20" s="1">
        <v>86</v>
      </c>
      <c r="E20">
        <v>1</v>
      </c>
    </row>
    <row r="21" spans="2:5" x14ac:dyDescent="0.3">
      <c r="B21">
        <v>18</v>
      </c>
      <c r="C21" s="11" t="s">
        <v>111</v>
      </c>
      <c r="D21" s="1">
        <v>86</v>
      </c>
      <c r="E21">
        <v>1</v>
      </c>
    </row>
    <row r="22" spans="2:5" x14ac:dyDescent="0.3">
      <c r="B22">
        <v>19</v>
      </c>
      <c r="C22" t="s">
        <v>112</v>
      </c>
      <c r="D22" s="1">
        <v>50</v>
      </c>
    </row>
    <row r="23" spans="2:5" x14ac:dyDescent="0.3">
      <c r="B23">
        <v>20</v>
      </c>
      <c r="C23" t="s">
        <v>113</v>
      </c>
      <c r="D23" s="1">
        <v>50</v>
      </c>
    </row>
    <row r="24" spans="2:5" x14ac:dyDescent="0.3">
      <c r="B24">
        <v>21</v>
      </c>
      <c r="C24" t="s">
        <v>114</v>
      </c>
      <c r="D24" s="1">
        <v>52</v>
      </c>
    </row>
    <row r="25" spans="2:5" x14ac:dyDescent="0.3">
      <c r="B25">
        <v>22</v>
      </c>
      <c r="C25" t="s">
        <v>115</v>
      </c>
      <c r="D25" s="1">
        <v>55</v>
      </c>
    </row>
    <row r="26" spans="2:5" x14ac:dyDescent="0.3">
      <c r="B26">
        <v>23</v>
      </c>
      <c r="C26" t="s">
        <v>218</v>
      </c>
      <c r="D26" s="1">
        <v>55</v>
      </c>
    </row>
    <row r="27" spans="2:5" x14ac:dyDescent="0.3">
      <c r="B27">
        <v>24</v>
      </c>
      <c r="C27" t="s">
        <v>116</v>
      </c>
      <c r="D27" s="1">
        <v>55</v>
      </c>
      <c r="E27">
        <v>1</v>
      </c>
    </row>
    <row r="28" spans="2:5" x14ac:dyDescent="0.3">
      <c r="B28">
        <v>25</v>
      </c>
      <c r="C28" t="s">
        <v>117</v>
      </c>
      <c r="D28" s="1">
        <v>55</v>
      </c>
    </row>
    <row r="29" spans="2:5" x14ac:dyDescent="0.3">
      <c r="B29">
        <v>26</v>
      </c>
      <c r="C29" t="s">
        <v>118</v>
      </c>
      <c r="D29" s="1">
        <v>60</v>
      </c>
    </row>
    <row r="30" spans="2:5" x14ac:dyDescent="0.3">
      <c r="B30">
        <v>27</v>
      </c>
      <c r="C30" t="s">
        <v>119</v>
      </c>
      <c r="D30" s="1">
        <v>60</v>
      </c>
    </row>
    <row r="31" spans="2:5" x14ac:dyDescent="0.3">
      <c r="B31">
        <v>28</v>
      </c>
      <c r="C31" t="s">
        <v>120</v>
      </c>
      <c r="D31" s="1">
        <v>200</v>
      </c>
    </row>
    <row r="32" spans="2:5" x14ac:dyDescent="0.3">
      <c r="B32">
        <v>29</v>
      </c>
      <c r="C32" t="s">
        <v>121</v>
      </c>
      <c r="D32" s="1">
        <v>200</v>
      </c>
    </row>
    <row r="33" spans="2:5" x14ac:dyDescent="0.3">
      <c r="B33">
        <v>30</v>
      </c>
      <c r="C33" t="s">
        <v>160</v>
      </c>
      <c r="D33" s="1">
        <v>165</v>
      </c>
    </row>
    <row r="34" spans="2:5" x14ac:dyDescent="0.3">
      <c r="B34">
        <v>31</v>
      </c>
      <c r="C34" t="s">
        <v>122</v>
      </c>
      <c r="D34" s="1">
        <v>160</v>
      </c>
    </row>
    <row r="35" spans="2:5" x14ac:dyDescent="0.3">
      <c r="B35">
        <v>32</v>
      </c>
      <c r="C35" t="s">
        <v>219</v>
      </c>
      <c r="D35" s="1">
        <v>160</v>
      </c>
    </row>
    <row r="36" spans="2:5" x14ac:dyDescent="0.3">
      <c r="B36">
        <v>33</v>
      </c>
      <c r="C36" t="s">
        <v>123</v>
      </c>
      <c r="D36" s="1">
        <v>130</v>
      </c>
    </row>
    <row r="37" spans="2:5" x14ac:dyDescent="0.3">
      <c r="B37">
        <v>34</v>
      </c>
      <c r="C37" t="s">
        <v>220</v>
      </c>
      <c r="D37" s="1">
        <v>130</v>
      </c>
    </row>
    <row r="38" spans="2:5" x14ac:dyDescent="0.3">
      <c r="B38">
        <v>35</v>
      </c>
      <c r="C38" t="s">
        <v>124</v>
      </c>
      <c r="D38" s="1">
        <v>220</v>
      </c>
    </row>
    <row r="39" spans="2:5" x14ac:dyDescent="0.3">
      <c r="B39">
        <v>36</v>
      </c>
      <c r="C39" t="s">
        <v>125</v>
      </c>
      <c r="D39" s="1">
        <v>220</v>
      </c>
    </row>
    <row r="40" spans="2:5" x14ac:dyDescent="0.3">
      <c r="B40">
        <v>37</v>
      </c>
      <c r="C40" t="s">
        <v>126</v>
      </c>
      <c r="D40" s="1">
        <v>160</v>
      </c>
    </row>
    <row r="41" spans="2:5" x14ac:dyDescent="0.3">
      <c r="B41">
        <v>38</v>
      </c>
      <c r="C41" t="s">
        <v>127</v>
      </c>
      <c r="D41" s="1">
        <v>160</v>
      </c>
    </row>
    <row r="42" spans="2:5" x14ac:dyDescent="0.3">
      <c r="B42">
        <v>39</v>
      </c>
      <c r="C42" t="s">
        <v>221</v>
      </c>
      <c r="D42" s="1">
        <v>150</v>
      </c>
    </row>
    <row r="43" spans="2:5" x14ac:dyDescent="0.3">
      <c r="B43">
        <v>40</v>
      </c>
      <c r="C43" t="s">
        <v>222</v>
      </c>
      <c r="D43" s="1">
        <v>80</v>
      </c>
      <c r="E43">
        <v>1</v>
      </c>
    </row>
    <row r="46" spans="2:5" x14ac:dyDescent="0.3">
      <c r="E46" s="10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H35"/>
  <sheetViews>
    <sheetView tabSelected="1" topLeftCell="B1" zoomScale="90" zoomScaleNormal="90" workbookViewId="0">
      <selection activeCell="H4" sqref="H4:H6"/>
    </sheetView>
  </sheetViews>
  <sheetFormatPr baseColWidth="10" defaultRowHeight="14.4" x14ac:dyDescent="0.3"/>
  <cols>
    <col min="1" max="1" width="5.33203125" customWidth="1"/>
    <col min="2" max="2" width="7.44140625" customWidth="1"/>
    <col min="3" max="3" width="36.77734375" bestFit="1" customWidth="1"/>
    <col min="4" max="4" width="10.88671875" style="1"/>
  </cols>
  <sheetData>
    <row r="1" spans="2:8" s="4" customFormat="1" x14ac:dyDescent="0.3">
      <c r="B1" s="2"/>
      <c r="C1" s="4" t="s">
        <v>159</v>
      </c>
      <c r="D1" s="5" t="s">
        <v>158</v>
      </c>
    </row>
    <row r="2" spans="2:8" s="4" customFormat="1" x14ac:dyDescent="0.3">
      <c r="D2" s="5"/>
    </row>
    <row r="3" spans="2:8" s="4" customFormat="1" x14ac:dyDescent="0.3">
      <c r="B3" s="6" t="s">
        <v>217</v>
      </c>
      <c r="C3" s="4" t="s">
        <v>48</v>
      </c>
      <c r="D3" s="5" t="s">
        <v>49</v>
      </c>
      <c r="F3" s="4" t="s">
        <v>224</v>
      </c>
      <c r="G3" s="4" t="s">
        <v>225</v>
      </c>
      <c r="H3" s="4" t="s">
        <v>226</v>
      </c>
    </row>
    <row r="4" spans="2:8" x14ac:dyDescent="0.3">
      <c r="B4">
        <v>4</v>
      </c>
      <c r="C4" t="s">
        <v>131</v>
      </c>
      <c r="D4" s="1">
        <v>287</v>
      </c>
    </row>
    <row r="5" spans="2:8" x14ac:dyDescent="0.3">
      <c r="B5">
        <v>2</v>
      </c>
      <c r="C5" t="s">
        <v>129</v>
      </c>
      <c r="D5" s="1">
        <v>286</v>
      </c>
    </row>
    <row r="6" spans="2:8" x14ac:dyDescent="0.3">
      <c r="B6">
        <v>1</v>
      </c>
      <c r="C6" t="s">
        <v>128</v>
      </c>
      <c r="D6" s="1">
        <v>284</v>
      </c>
      <c r="F6">
        <v>0</v>
      </c>
      <c r="G6">
        <v>0</v>
      </c>
    </row>
    <row r="7" spans="2:8" x14ac:dyDescent="0.3">
      <c r="B7">
        <v>5</v>
      </c>
      <c r="C7" t="s">
        <v>132</v>
      </c>
      <c r="D7" s="1">
        <v>272</v>
      </c>
      <c r="G7">
        <v>1</v>
      </c>
    </row>
    <row r="8" spans="2:8" x14ac:dyDescent="0.3">
      <c r="B8">
        <v>3</v>
      </c>
      <c r="C8" t="s">
        <v>130</v>
      </c>
      <c r="D8" s="1">
        <v>249</v>
      </c>
      <c r="G8">
        <v>1</v>
      </c>
    </row>
    <row r="9" spans="2:8" x14ac:dyDescent="0.3">
      <c r="B9">
        <v>7</v>
      </c>
      <c r="C9" t="s">
        <v>134</v>
      </c>
      <c r="D9" s="1">
        <v>184</v>
      </c>
    </row>
    <row r="10" spans="2:8" x14ac:dyDescent="0.3">
      <c r="B10">
        <v>6</v>
      </c>
      <c r="C10" t="s">
        <v>133</v>
      </c>
      <c r="D10" s="1">
        <v>173</v>
      </c>
      <c r="F10">
        <v>1</v>
      </c>
    </row>
    <row r="11" spans="2:8" x14ac:dyDescent="0.3">
      <c r="B11">
        <v>24</v>
      </c>
      <c r="C11" t="s">
        <v>150</v>
      </c>
      <c r="D11" s="1">
        <v>149</v>
      </c>
      <c r="F11">
        <v>1</v>
      </c>
      <c r="G11">
        <v>1</v>
      </c>
    </row>
    <row r="12" spans="2:8" x14ac:dyDescent="0.3">
      <c r="B12">
        <v>15</v>
      </c>
      <c r="C12" t="s">
        <v>141</v>
      </c>
      <c r="D12" s="1">
        <v>148</v>
      </c>
      <c r="G12">
        <v>1</v>
      </c>
    </row>
    <row r="13" spans="2:8" x14ac:dyDescent="0.3">
      <c r="B13">
        <v>14</v>
      </c>
      <c r="C13" t="s">
        <v>140</v>
      </c>
      <c r="D13" s="1">
        <v>142</v>
      </c>
      <c r="H13">
        <v>1</v>
      </c>
    </row>
    <row r="14" spans="2:8" x14ac:dyDescent="0.3">
      <c r="B14">
        <v>20</v>
      </c>
      <c r="C14" t="s">
        <v>146</v>
      </c>
      <c r="D14" s="1">
        <v>142</v>
      </c>
      <c r="F14">
        <v>1</v>
      </c>
      <c r="H14">
        <v>1</v>
      </c>
    </row>
    <row r="15" spans="2:8" x14ac:dyDescent="0.3">
      <c r="B15">
        <v>13</v>
      </c>
      <c r="C15" t="s">
        <v>139</v>
      </c>
      <c r="D15" s="1">
        <v>111</v>
      </c>
      <c r="F15">
        <v>1</v>
      </c>
      <c r="H15">
        <v>1</v>
      </c>
    </row>
    <row r="16" spans="2:8" x14ac:dyDescent="0.3">
      <c r="B16">
        <v>29</v>
      </c>
      <c r="C16" t="s">
        <v>155</v>
      </c>
      <c r="D16" s="1">
        <v>111</v>
      </c>
      <c r="F16">
        <v>1</v>
      </c>
      <c r="H16">
        <v>1</v>
      </c>
    </row>
    <row r="17" spans="2:8" x14ac:dyDescent="0.3">
      <c r="B17">
        <v>10</v>
      </c>
      <c r="C17" t="s">
        <v>137</v>
      </c>
      <c r="D17" s="1">
        <v>108</v>
      </c>
      <c r="G17">
        <v>1</v>
      </c>
      <c r="H17">
        <v>1</v>
      </c>
    </row>
    <row r="18" spans="2:8" x14ac:dyDescent="0.3">
      <c r="B18">
        <v>12</v>
      </c>
      <c r="C18" t="s">
        <v>138</v>
      </c>
      <c r="D18" s="1">
        <v>108</v>
      </c>
      <c r="G18">
        <v>1</v>
      </c>
      <c r="H18">
        <v>1</v>
      </c>
    </row>
    <row r="19" spans="2:8" x14ac:dyDescent="0.3">
      <c r="B19">
        <v>21</v>
      </c>
      <c r="C19" t="s">
        <v>147</v>
      </c>
      <c r="D19" s="1">
        <v>102</v>
      </c>
      <c r="F19">
        <v>1</v>
      </c>
      <c r="G19">
        <v>1</v>
      </c>
      <c r="H19">
        <v>1</v>
      </c>
    </row>
    <row r="20" spans="2:8" x14ac:dyDescent="0.3">
      <c r="B20">
        <v>9</v>
      </c>
      <c r="C20" t="s">
        <v>136</v>
      </c>
      <c r="D20" s="1">
        <v>98</v>
      </c>
      <c r="F20">
        <v>1</v>
      </c>
      <c r="G20">
        <v>1</v>
      </c>
      <c r="H20">
        <v>1</v>
      </c>
    </row>
    <row r="21" spans="2:8" x14ac:dyDescent="0.3">
      <c r="B21">
        <v>16</v>
      </c>
      <c r="C21" t="s">
        <v>142</v>
      </c>
      <c r="D21" s="1">
        <v>98</v>
      </c>
      <c r="G21">
        <v>1</v>
      </c>
      <c r="H21">
        <v>1</v>
      </c>
    </row>
    <row r="22" spans="2:8" x14ac:dyDescent="0.3">
      <c r="B22">
        <v>30</v>
      </c>
      <c r="C22" t="s">
        <v>156</v>
      </c>
      <c r="D22" s="1">
        <v>98</v>
      </c>
      <c r="G22">
        <v>1</v>
      </c>
      <c r="H22">
        <v>1</v>
      </c>
    </row>
    <row r="23" spans="2:8" x14ac:dyDescent="0.3">
      <c r="B23">
        <v>27</v>
      </c>
      <c r="C23" t="s">
        <v>153</v>
      </c>
      <c r="D23" s="1">
        <v>94</v>
      </c>
      <c r="G23">
        <v>1</v>
      </c>
      <c r="H23">
        <v>1</v>
      </c>
    </row>
    <row r="24" spans="2:8" x14ac:dyDescent="0.3">
      <c r="B24">
        <v>23</v>
      </c>
      <c r="C24" t="s">
        <v>149</v>
      </c>
      <c r="D24" s="1">
        <v>78</v>
      </c>
      <c r="F24">
        <v>1</v>
      </c>
      <c r="G24">
        <v>1</v>
      </c>
      <c r="H24">
        <v>1</v>
      </c>
    </row>
    <row r="25" spans="2:8" x14ac:dyDescent="0.3">
      <c r="B25">
        <v>28</v>
      </c>
      <c r="C25" t="s">
        <v>154</v>
      </c>
      <c r="D25" s="1">
        <v>78</v>
      </c>
      <c r="G25">
        <v>1</v>
      </c>
      <c r="H25">
        <v>1</v>
      </c>
    </row>
    <row r="26" spans="2:8" x14ac:dyDescent="0.3">
      <c r="B26">
        <v>25</v>
      </c>
      <c r="C26" t="s">
        <v>151</v>
      </c>
      <c r="D26" s="1">
        <v>69</v>
      </c>
      <c r="F26">
        <v>1</v>
      </c>
      <c r="G26">
        <v>1</v>
      </c>
      <c r="H26">
        <v>1</v>
      </c>
    </row>
    <row r="27" spans="2:8" x14ac:dyDescent="0.3">
      <c r="B27">
        <v>31</v>
      </c>
      <c r="C27" t="s">
        <v>157</v>
      </c>
      <c r="D27" s="1">
        <v>69</v>
      </c>
      <c r="G27">
        <v>1</v>
      </c>
      <c r="H27">
        <v>1</v>
      </c>
    </row>
    <row r="28" spans="2:8" x14ac:dyDescent="0.3">
      <c r="B28">
        <v>19</v>
      </c>
      <c r="C28" t="s">
        <v>145</v>
      </c>
      <c r="D28" s="1">
        <v>68</v>
      </c>
      <c r="F28">
        <v>1</v>
      </c>
      <c r="G28">
        <v>1</v>
      </c>
      <c r="H28">
        <v>1</v>
      </c>
    </row>
    <row r="29" spans="2:8" x14ac:dyDescent="0.3">
      <c r="B29">
        <v>18</v>
      </c>
      <c r="C29" t="s">
        <v>144</v>
      </c>
      <c r="D29" s="1">
        <v>63</v>
      </c>
      <c r="F29">
        <v>1</v>
      </c>
      <c r="G29">
        <v>1</v>
      </c>
      <c r="H29">
        <v>1</v>
      </c>
    </row>
    <row r="30" spans="2:8" x14ac:dyDescent="0.3">
      <c r="B30">
        <v>22</v>
      </c>
      <c r="C30" t="s">
        <v>148</v>
      </c>
      <c r="D30" s="1">
        <v>59</v>
      </c>
      <c r="F30">
        <v>1</v>
      </c>
      <c r="G30">
        <v>1</v>
      </c>
      <c r="H30">
        <v>1</v>
      </c>
    </row>
    <row r="31" spans="2:8" x14ac:dyDescent="0.3">
      <c r="B31">
        <v>26</v>
      </c>
      <c r="C31" t="s">
        <v>152</v>
      </c>
      <c r="D31" s="1">
        <v>59</v>
      </c>
      <c r="F31">
        <v>1</v>
      </c>
      <c r="G31">
        <v>1</v>
      </c>
      <c r="H31">
        <v>1</v>
      </c>
    </row>
    <row r="32" spans="2:8" x14ac:dyDescent="0.3">
      <c r="B32">
        <v>8</v>
      </c>
      <c r="C32" t="s">
        <v>135</v>
      </c>
      <c r="D32" s="1">
        <v>47</v>
      </c>
      <c r="G32">
        <v>1</v>
      </c>
      <c r="H32">
        <v>1</v>
      </c>
    </row>
    <row r="33" spans="2:8" x14ac:dyDescent="0.3">
      <c r="B33">
        <v>11</v>
      </c>
      <c r="C33" t="s">
        <v>66</v>
      </c>
      <c r="D33" s="1">
        <v>47</v>
      </c>
      <c r="F33">
        <v>1</v>
      </c>
      <c r="G33">
        <v>1</v>
      </c>
      <c r="H33">
        <v>1</v>
      </c>
    </row>
    <row r="34" spans="2:8" x14ac:dyDescent="0.3">
      <c r="B34">
        <v>17</v>
      </c>
      <c r="C34" t="s">
        <v>143</v>
      </c>
      <c r="D34" s="1">
        <v>47</v>
      </c>
      <c r="G34">
        <v>1</v>
      </c>
      <c r="H34">
        <v>1</v>
      </c>
    </row>
    <row r="35" spans="2:8" x14ac:dyDescent="0.3">
      <c r="G35">
        <f xml:space="preserve"> SUM(G4:G34)</f>
        <v>22</v>
      </c>
      <c r="H35">
        <f>SUM(H4:H34)</f>
        <v>22</v>
      </c>
    </row>
  </sheetData>
  <autoFilter ref="B3:G34" xr:uid="{00000000-0001-0000-0300-000000000000}">
    <sortState xmlns:xlrd2="http://schemas.microsoft.com/office/spreadsheetml/2017/richdata2" ref="B4:G34">
      <sortCondition descending="1" ref="D3:D34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F58"/>
  <sheetViews>
    <sheetView zoomScale="80" zoomScaleNormal="80" workbookViewId="0">
      <selection activeCell="I26" sqref="I26"/>
    </sheetView>
  </sheetViews>
  <sheetFormatPr baseColWidth="10" defaultRowHeight="14.4" x14ac:dyDescent="0.3"/>
  <cols>
    <col min="1" max="1" width="4" customWidth="1"/>
    <col min="2" max="2" width="6.109375" customWidth="1"/>
    <col min="3" max="3" width="42.44140625" customWidth="1"/>
    <col min="4" max="4" width="11"/>
    <col min="6" max="6" width="13.21875" bestFit="1" customWidth="1"/>
  </cols>
  <sheetData>
    <row r="1" spans="2:4" x14ac:dyDescent="0.3">
      <c r="B1" s="2"/>
      <c r="C1" s="4" t="s">
        <v>161</v>
      </c>
      <c r="D1" s="5" t="s">
        <v>162</v>
      </c>
    </row>
    <row r="2" spans="2:4" x14ac:dyDescent="0.3">
      <c r="B2" s="4"/>
      <c r="C2" s="4"/>
      <c r="D2" s="5"/>
    </row>
    <row r="3" spans="2:4" x14ac:dyDescent="0.3">
      <c r="B3" s="6" t="s">
        <v>217</v>
      </c>
      <c r="C3" s="4" t="s">
        <v>48</v>
      </c>
      <c r="D3" s="5" t="s">
        <v>49</v>
      </c>
    </row>
    <row r="4" spans="2:4" x14ac:dyDescent="0.3">
      <c r="B4">
        <v>1</v>
      </c>
      <c r="C4" t="s">
        <v>163</v>
      </c>
      <c r="D4">
        <v>51</v>
      </c>
    </row>
    <row r="5" spans="2:4" x14ac:dyDescent="0.3">
      <c r="B5">
        <v>2</v>
      </c>
      <c r="C5" t="s">
        <v>164</v>
      </c>
      <c r="D5">
        <v>112</v>
      </c>
    </row>
    <row r="6" spans="2:4" x14ac:dyDescent="0.3">
      <c r="B6">
        <v>3</v>
      </c>
      <c r="C6" t="s">
        <v>165</v>
      </c>
      <c r="D6">
        <v>137</v>
      </c>
    </row>
    <row r="7" spans="2:4" x14ac:dyDescent="0.3">
      <c r="B7">
        <v>4</v>
      </c>
      <c r="C7" t="s">
        <v>166</v>
      </c>
      <c r="D7">
        <v>82</v>
      </c>
    </row>
    <row r="8" spans="2:4" x14ac:dyDescent="0.3">
      <c r="B8">
        <v>5</v>
      </c>
      <c r="C8" t="s">
        <v>167</v>
      </c>
      <c r="D8">
        <v>118</v>
      </c>
    </row>
    <row r="9" spans="2:4" x14ac:dyDescent="0.3">
      <c r="B9">
        <v>6</v>
      </c>
      <c r="C9" t="s">
        <v>168</v>
      </c>
      <c r="D9">
        <v>129</v>
      </c>
    </row>
    <row r="10" spans="2:4" x14ac:dyDescent="0.3">
      <c r="B10">
        <v>7</v>
      </c>
      <c r="C10" t="s">
        <v>169</v>
      </c>
      <c r="D10">
        <v>121</v>
      </c>
    </row>
    <row r="11" spans="2:4" x14ac:dyDescent="0.3">
      <c r="B11">
        <v>8</v>
      </c>
      <c r="C11" t="s">
        <v>170</v>
      </c>
      <c r="D11">
        <v>65</v>
      </c>
    </row>
    <row r="12" spans="2:4" x14ac:dyDescent="0.3">
      <c r="B12">
        <v>9</v>
      </c>
      <c r="C12" t="s">
        <v>171</v>
      </c>
      <c r="D12">
        <v>65</v>
      </c>
    </row>
    <row r="13" spans="2:4" x14ac:dyDescent="0.3">
      <c r="B13">
        <v>10</v>
      </c>
      <c r="C13" t="s">
        <v>172</v>
      </c>
      <c r="D13">
        <v>61</v>
      </c>
    </row>
    <row r="14" spans="2:4" x14ac:dyDescent="0.3">
      <c r="B14">
        <v>11</v>
      </c>
      <c r="C14" t="s">
        <v>173</v>
      </c>
      <c r="D14">
        <v>61</v>
      </c>
    </row>
    <row r="15" spans="2:4" x14ac:dyDescent="0.3">
      <c r="B15">
        <v>12</v>
      </c>
      <c r="C15" t="s">
        <v>174</v>
      </c>
      <c r="D15">
        <v>68</v>
      </c>
    </row>
    <row r="16" spans="2:4" x14ac:dyDescent="0.3">
      <c r="B16">
        <v>13</v>
      </c>
      <c r="C16" t="s">
        <v>175</v>
      </c>
      <c r="D16">
        <v>108</v>
      </c>
    </row>
    <row r="17" spans="2:4" x14ac:dyDescent="0.3">
      <c r="B17">
        <v>14</v>
      </c>
      <c r="C17" t="s">
        <v>176</v>
      </c>
      <c r="D17">
        <v>125</v>
      </c>
    </row>
    <row r="18" spans="2:4" x14ac:dyDescent="0.3">
      <c r="B18">
        <v>15</v>
      </c>
      <c r="C18" t="s">
        <v>177</v>
      </c>
      <c r="D18">
        <v>178</v>
      </c>
    </row>
    <row r="19" spans="2:4" x14ac:dyDescent="0.3">
      <c r="B19">
        <v>16</v>
      </c>
      <c r="C19" t="s">
        <v>178</v>
      </c>
      <c r="D19">
        <v>188</v>
      </c>
    </row>
    <row r="20" spans="2:4" x14ac:dyDescent="0.3">
      <c r="B20">
        <v>17</v>
      </c>
      <c r="C20" t="s">
        <v>179</v>
      </c>
      <c r="D20">
        <v>190</v>
      </c>
    </row>
    <row r="21" spans="2:4" x14ac:dyDescent="0.3">
      <c r="B21">
        <v>18</v>
      </c>
      <c r="C21" t="s">
        <v>180</v>
      </c>
      <c r="D21">
        <v>75</v>
      </c>
    </row>
    <row r="22" spans="2:4" x14ac:dyDescent="0.3">
      <c r="B22">
        <v>19</v>
      </c>
      <c r="C22" t="s">
        <v>181</v>
      </c>
      <c r="D22">
        <v>75</v>
      </c>
    </row>
    <row r="23" spans="2:4" x14ac:dyDescent="0.3">
      <c r="B23">
        <v>20</v>
      </c>
      <c r="C23" t="s">
        <v>182</v>
      </c>
      <c r="D23">
        <v>244</v>
      </c>
    </row>
    <row r="24" spans="2:4" x14ac:dyDescent="0.3">
      <c r="B24">
        <v>21</v>
      </c>
      <c r="C24" t="s">
        <v>183</v>
      </c>
      <c r="D24">
        <v>150</v>
      </c>
    </row>
    <row r="25" spans="2:4" x14ac:dyDescent="0.3">
      <c r="B25">
        <v>22</v>
      </c>
      <c r="C25" t="s">
        <v>184</v>
      </c>
      <c r="D25">
        <v>280</v>
      </c>
    </row>
    <row r="26" spans="2:4" x14ac:dyDescent="0.3">
      <c r="B26">
        <v>23</v>
      </c>
      <c r="C26" t="s">
        <v>185</v>
      </c>
      <c r="D26">
        <v>295</v>
      </c>
    </row>
    <row r="27" spans="2:4" x14ac:dyDescent="0.3">
      <c r="B27">
        <v>24</v>
      </c>
      <c r="C27" t="s">
        <v>186</v>
      </c>
      <c r="D27">
        <v>282</v>
      </c>
    </row>
    <row r="28" spans="2:4" x14ac:dyDescent="0.3">
      <c r="B28">
        <v>25</v>
      </c>
      <c r="C28" t="s">
        <v>187</v>
      </c>
      <c r="D28">
        <v>292</v>
      </c>
    </row>
    <row r="29" spans="2:4" x14ac:dyDescent="0.3">
      <c r="B29">
        <v>26</v>
      </c>
      <c r="C29" t="s">
        <v>188</v>
      </c>
      <c r="D29">
        <v>305</v>
      </c>
    </row>
    <row r="30" spans="2:4" x14ac:dyDescent="0.3">
      <c r="B30">
        <v>27</v>
      </c>
      <c r="C30" t="s">
        <v>189</v>
      </c>
      <c r="D30">
        <v>286</v>
      </c>
    </row>
    <row r="31" spans="2:4" x14ac:dyDescent="0.3">
      <c r="B31">
        <v>28</v>
      </c>
      <c r="C31" t="s">
        <v>190</v>
      </c>
      <c r="D31">
        <v>67</v>
      </c>
    </row>
    <row r="32" spans="2:4" x14ac:dyDescent="0.3">
      <c r="B32">
        <v>29</v>
      </c>
      <c r="C32" t="s">
        <v>191</v>
      </c>
      <c r="D32">
        <v>178</v>
      </c>
    </row>
    <row r="33" spans="2:6" x14ac:dyDescent="0.3">
      <c r="B33">
        <v>30</v>
      </c>
      <c r="C33" t="s">
        <v>192</v>
      </c>
      <c r="D33">
        <v>72</v>
      </c>
    </row>
    <row r="34" spans="2:6" x14ac:dyDescent="0.3">
      <c r="B34">
        <v>31</v>
      </c>
      <c r="C34" t="s">
        <v>193</v>
      </c>
      <c r="D34">
        <v>238</v>
      </c>
    </row>
    <row r="35" spans="2:6" x14ac:dyDescent="0.3">
      <c r="B35">
        <v>32</v>
      </c>
      <c r="C35" t="s">
        <v>194</v>
      </c>
      <c r="D35">
        <v>54</v>
      </c>
    </row>
    <row r="36" spans="2:6" x14ac:dyDescent="0.3">
      <c r="B36">
        <v>33</v>
      </c>
      <c r="C36" t="s">
        <v>195</v>
      </c>
      <c r="D36">
        <v>92</v>
      </c>
    </row>
    <row r="37" spans="2:6" x14ac:dyDescent="0.3">
      <c r="B37">
        <v>34</v>
      </c>
      <c r="C37" t="s">
        <v>196</v>
      </c>
      <c r="D37">
        <v>35</v>
      </c>
    </row>
    <row r="38" spans="2:6" x14ac:dyDescent="0.3">
      <c r="B38">
        <v>35</v>
      </c>
      <c r="C38" t="s">
        <v>197</v>
      </c>
      <c r="D38">
        <v>25</v>
      </c>
    </row>
    <row r="39" spans="2:6" x14ac:dyDescent="0.3">
      <c r="B39">
        <v>36</v>
      </c>
      <c r="C39" t="s">
        <v>198</v>
      </c>
      <c r="D39">
        <v>25</v>
      </c>
    </row>
    <row r="40" spans="2:6" x14ac:dyDescent="0.3">
      <c r="B40">
        <v>37</v>
      </c>
      <c r="C40" t="s">
        <v>199</v>
      </c>
      <c r="D40">
        <v>31</v>
      </c>
    </row>
    <row r="41" spans="2:6" x14ac:dyDescent="0.3">
      <c r="B41">
        <v>38</v>
      </c>
      <c r="C41" t="s">
        <v>200</v>
      </c>
      <c r="D41">
        <v>25</v>
      </c>
    </row>
    <row r="42" spans="2:6" x14ac:dyDescent="0.3">
      <c r="B42">
        <v>39</v>
      </c>
      <c r="C42" t="s">
        <v>201</v>
      </c>
      <c r="D42">
        <v>32</v>
      </c>
    </row>
    <row r="43" spans="2:6" x14ac:dyDescent="0.3">
      <c r="B43">
        <v>40</v>
      </c>
      <c r="C43" t="s">
        <v>202</v>
      </c>
      <c r="D43">
        <v>33</v>
      </c>
    </row>
    <row r="44" spans="2:6" x14ac:dyDescent="0.3">
      <c r="B44">
        <v>41</v>
      </c>
      <c r="C44" t="s">
        <v>203</v>
      </c>
      <c r="D44">
        <v>33</v>
      </c>
    </row>
    <row r="45" spans="2:6" x14ac:dyDescent="0.3">
      <c r="B45">
        <v>42</v>
      </c>
      <c r="C45" t="s">
        <v>204</v>
      </c>
      <c r="D45">
        <v>34</v>
      </c>
    </row>
    <row r="46" spans="2:6" x14ac:dyDescent="0.3">
      <c r="B46">
        <v>43</v>
      </c>
      <c r="C46" t="s">
        <v>205</v>
      </c>
      <c r="D46">
        <v>33</v>
      </c>
      <c r="F46">
        <f>12*20</f>
        <v>240</v>
      </c>
    </row>
    <row r="47" spans="2:6" x14ac:dyDescent="0.3">
      <c r="B47">
        <v>44</v>
      </c>
      <c r="C47" t="s">
        <v>206</v>
      </c>
      <c r="D47">
        <v>35</v>
      </c>
    </row>
    <row r="48" spans="2:6" x14ac:dyDescent="0.3">
      <c r="B48">
        <v>45</v>
      </c>
      <c r="C48" t="s">
        <v>207</v>
      </c>
      <c r="D48">
        <v>35</v>
      </c>
      <c r="F48">
        <f>F46/B57</f>
        <v>4.4444444444444446</v>
      </c>
    </row>
    <row r="49" spans="2:4" x14ac:dyDescent="0.3">
      <c r="B49">
        <v>46</v>
      </c>
      <c r="C49" t="s">
        <v>208</v>
      </c>
      <c r="D49">
        <v>35</v>
      </c>
    </row>
    <row r="50" spans="2:4" x14ac:dyDescent="0.3">
      <c r="B50">
        <v>47</v>
      </c>
      <c r="C50" t="s">
        <v>209</v>
      </c>
      <c r="D50">
        <v>25</v>
      </c>
    </row>
    <row r="51" spans="2:4" x14ac:dyDescent="0.3">
      <c r="B51">
        <v>48</v>
      </c>
      <c r="C51" t="s">
        <v>210</v>
      </c>
      <c r="D51">
        <v>104</v>
      </c>
    </row>
    <row r="52" spans="2:4" x14ac:dyDescent="0.3">
      <c r="B52">
        <v>49</v>
      </c>
      <c r="C52" t="s">
        <v>211</v>
      </c>
      <c r="D52">
        <v>158</v>
      </c>
    </row>
    <row r="53" spans="2:4" x14ac:dyDescent="0.3">
      <c r="B53">
        <v>50</v>
      </c>
      <c r="C53" t="s">
        <v>212</v>
      </c>
      <c r="D53">
        <v>110</v>
      </c>
    </row>
    <row r="54" spans="2:4" x14ac:dyDescent="0.3">
      <c r="B54">
        <v>51</v>
      </c>
      <c r="C54" t="s">
        <v>213</v>
      </c>
      <c r="D54">
        <v>104</v>
      </c>
    </row>
    <row r="55" spans="2:4" x14ac:dyDescent="0.3">
      <c r="B55">
        <v>52</v>
      </c>
      <c r="C55" t="s">
        <v>214</v>
      </c>
      <c r="D55">
        <v>115</v>
      </c>
    </row>
    <row r="56" spans="2:4" x14ac:dyDescent="0.3">
      <c r="B56">
        <v>53</v>
      </c>
      <c r="C56" t="s">
        <v>215</v>
      </c>
      <c r="D56">
        <v>62</v>
      </c>
    </row>
    <row r="57" spans="2:4" x14ac:dyDescent="0.3">
      <c r="B57">
        <v>54</v>
      </c>
      <c r="C57" t="s">
        <v>216</v>
      </c>
      <c r="D57">
        <v>62</v>
      </c>
    </row>
    <row r="58" spans="2:4" x14ac:dyDescent="0.3">
      <c r="D58">
        <f>SUM(D4:D57)</f>
        <v>5995</v>
      </c>
    </row>
  </sheetData>
  <autoFilter ref="B3:D58" xr:uid="{00000000-0009-0000-0000-000004000000}">
    <sortState xmlns:xlrd2="http://schemas.microsoft.com/office/spreadsheetml/2017/richdata2" ref="B4:D58">
      <sortCondition ref="B3:B5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Carlos Acevedo</vt:lpstr>
      <vt:lpstr>Mauricio Picart</vt:lpstr>
      <vt:lpstr>Pablo Villarroel</vt:lpstr>
      <vt:lpstr>Samuel Inostroza</vt:lpstr>
      <vt:lpstr>Cristian Lizama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Marcela Diaz</dc:creator>
  <cp:lastModifiedBy>Valery Chaparro Navarro</cp:lastModifiedBy>
  <cp:lastPrinted>2026-04-14T20:35:45Z</cp:lastPrinted>
  <dcterms:created xsi:type="dcterms:W3CDTF">2026-04-14T16:40:28Z</dcterms:created>
  <dcterms:modified xsi:type="dcterms:W3CDTF">2026-06-30T17:57:16Z</dcterms:modified>
</cp:coreProperties>
</file>