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alen\Documents\Prieto_Correa_seguros\coca_cola\Modelo_Coca-Cola\app\"/>
    </mc:Choice>
  </mc:AlternateContent>
  <xr:revisionPtr revIDLastSave="0" documentId="13_ncr:1_{CDE02007-9DB9-4438-A5E0-359D4754675F}" xr6:coauthVersionLast="47" xr6:coauthVersionMax="47" xr10:uidLastSave="{00000000-0000-0000-0000-000000000000}"/>
  <bookViews>
    <workbookView xWindow="11424" yWindow="0" windowWidth="11712" windowHeight="12336" firstSheet="1" activeTab="1" xr2:uid="{3DFBF9A6-CE62-46FB-85A0-7B74CFABDF11}"/>
  </bookViews>
  <sheets>
    <sheet name="Panel" sheetId="6" r:id="rId1"/>
    <sheet name="Resumen mensual" sheetId="5" r:id="rId2"/>
    <sheet name="INFORME_TEMP" sheetId="20" r:id="rId3"/>
  </sheets>
  <definedNames>
    <definedName name="SegmentaciónDeDatos_Resumen_Auditore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5" l="1" a="1"/>
  <c r="L145" i="5" l="1"/>
  <c r="K145" i="5"/>
  <c r="J145" i="5"/>
  <c r="I145" i="5"/>
  <c r="H145" i="5"/>
  <c r="G145" i="5"/>
  <c r="M144" i="5"/>
  <c r="L141" i="5"/>
  <c r="K141" i="5"/>
  <c r="J141" i="5"/>
  <c r="I141" i="5"/>
  <c r="H141" i="5"/>
  <c r="G141" i="5"/>
  <c r="M135" i="5"/>
  <c r="L134" i="5"/>
  <c r="K134" i="5"/>
  <c r="J134" i="5"/>
  <c r="I134" i="5"/>
  <c r="H134" i="5"/>
  <c r="G134" i="5"/>
  <c r="M133" i="5"/>
  <c r="L130" i="5"/>
  <c r="K130" i="5"/>
  <c r="J130" i="5"/>
  <c r="I130" i="5"/>
  <c r="H130" i="5"/>
  <c r="G130" i="5"/>
  <c r="M124" i="5"/>
  <c r="L123" i="5"/>
  <c r="K123" i="5"/>
  <c r="J123" i="5"/>
  <c r="I123" i="5"/>
  <c r="H123" i="5"/>
  <c r="G123" i="5"/>
  <c r="M122" i="5"/>
  <c r="L119" i="5"/>
  <c r="K119" i="5"/>
  <c r="J119" i="5"/>
  <c r="I119" i="5"/>
  <c r="H119" i="5"/>
  <c r="G119" i="5"/>
  <c r="M113" i="5"/>
  <c r="L112" i="5"/>
  <c r="K112" i="5"/>
  <c r="J112" i="5"/>
  <c r="I112" i="5"/>
  <c r="H112" i="5"/>
  <c r="G112" i="5"/>
  <c r="M111" i="5"/>
  <c r="L108" i="5"/>
  <c r="K108" i="5"/>
  <c r="J108" i="5"/>
  <c r="I108" i="5"/>
  <c r="H108" i="5"/>
  <c r="G108" i="5"/>
  <c r="M102" i="5"/>
  <c r="L101" i="5"/>
  <c r="K101" i="5"/>
  <c r="J101" i="5"/>
  <c r="I101" i="5"/>
  <c r="H101" i="5"/>
  <c r="G101" i="5"/>
  <c r="M100" i="5"/>
  <c r="L97" i="5"/>
  <c r="K97" i="5"/>
  <c r="J97" i="5"/>
  <c r="I97" i="5"/>
  <c r="H97" i="5"/>
  <c r="G97" i="5"/>
  <c r="M91" i="5"/>
  <c r="L90" i="5"/>
  <c r="K90" i="5"/>
  <c r="J90" i="5"/>
  <c r="I90" i="5"/>
  <c r="H90" i="5"/>
  <c r="G90" i="5"/>
  <c r="M89" i="5"/>
  <c r="L86" i="5"/>
  <c r="K86" i="5"/>
  <c r="J86" i="5"/>
  <c r="I86" i="5"/>
  <c r="H86" i="5"/>
  <c r="G86" i="5"/>
  <c r="M80" i="5"/>
  <c r="L79" i="5"/>
  <c r="K79" i="5"/>
  <c r="J79" i="5"/>
  <c r="I79" i="5"/>
  <c r="H79" i="5"/>
  <c r="G79" i="5"/>
  <c r="M78" i="5"/>
  <c r="L75" i="5"/>
  <c r="K75" i="5"/>
  <c r="J75" i="5"/>
  <c r="I75" i="5"/>
  <c r="H75" i="5"/>
  <c r="G75" i="5"/>
  <c r="M69" i="5"/>
  <c r="L68" i="5"/>
  <c r="K68" i="5"/>
  <c r="J68" i="5"/>
  <c r="I68" i="5"/>
  <c r="H68" i="5"/>
  <c r="G68" i="5"/>
  <c r="M67" i="5"/>
  <c r="L64" i="5"/>
  <c r="K64" i="5"/>
  <c r="J64" i="5"/>
  <c r="I64" i="5"/>
  <c r="H64" i="5"/>
  <c r="G64" i="5"/>
  <c r="M58" i="5"/>
  <c r="L57" i="5"/>
  <c r="K57" i="5"/>
  <c r="J57" i="5"/>
  <c r="I57" i="5"/>
  <c r="H57" i="5"/>
  <c r="G57" i="5"/>
  <c r="M56" i="5"/>
  <c r="L53" i="5"/>
  <c r="K53" i="5"/>
  <c r="J53" i="5"/>
  <c r="I53" i="5"/>
  <c r="H53" i="5"/>
  <c r="G53" i="5"/>
  <c r="M47" i="5"/>
  <c r="L46" i="5"/>
  <c r="K46" i="5"/>
  <c r="J46" i="5"/>
  <c r="I46" i="5"/>
  <c r="H46" i="5"/>
  <c r="G46" i="5"/>
  <c r="M45" i="5"/>
  <c r="L42" i="5"/>
  <c r="K42" i="5"/>
  <c r="J42" i="5"/>
  <c r="I42" i="5"/>
  <c r="H42" i="5"/>
  <c r="G42" i="5"/>
  <c r="M36" i="5"/>
  <c r="L35" i="5"/>
  <c r="K35" i="5"/>
  <c r="J35" i="5"/>
  <c r="I35" i="5"/>
  <c r="H35" i="5"/>
  <c r="G35" i="5"/>
  <c r="M34" i="5"/>
  <c r="L31" i="5"/>
  <c r="K31" i="5"/>
  <c r="J31" i="5"/>
  <c r="I31" i="5"/>
  <c r="H31" i="5"/>
  <c r="G31" i="5"/>
  <c r="M25" i="5"/>
  <c r="M23" i="5"/>
  <c r="H24" i="5"/>
  <c r="I24" i="5"/>
  <c r="J24" i="5"/>
  <c r="K24" i="5"/>
  <c r="L24" i="5"/>
  <c r="G24" i="5"/>
  <c r="M46" i="5" l="1"/>
  <c r="M112" i="5"/>
  <c r="M57" i="5"/>
  <c r="M123" i="5"/>
  <c r="M68" i="5"/>
  <c r="M134" i="5"/>
  <c r="M79" i="5"/>
  <c r="M145" i="5"/>
  <c r="M24" i="5"/>
  <c r="M90" i="5"/>
  <c r="M35" i="5"/>
  <c r="M101" i="5"/>
  <c r="M64" i="5"/>
  <c r="M53" i="5"/>
  <c r="M141" i="5"/>
  <c r="M130" i="5"/>
  <c r="M31" i="5"/>
  <c r="M119" i="5"/>
  <c r="M108" i="5"/>
  <c r="M97" i="5"/>
  <c r="M86" i="5"/>
  <c r="M75" i="5"/>
  <c r="M42" i="5"/>
  <c r="M14" i="5" l="1"/>
  <c r="J20" i="5" l="1"/>
  <c r="K20" i="5"/>
  <c r="H20" i="5"/>
  <c r="L20" i="5"/>
  <c r="I20" i="5"/>
  <c r="G20" i="5"/>
  <c r="M20" i="5" l="1"/>
  <c r="K15" i="5" s="1"/>
  <c r="K18" i="5" s="1"/>
  <c r="K19" i="5" s="1"/>
  <c r="K21" i="5" s="1"/>
  <c r="K22" i="5" s="1"/>
  <c r="G15" i="5" l="1"/>
  <c r="G18" i="5" s="1"/>
  <c r="G19" i="5" s="1"/>
  <c r="L15" i="5"/>
  <c r="L18" i="5" s="1"/>
  <c r="L19" i="5" s="1"/>
  <c r="L21" i="5" s="1"/>
  <c r="L22" i="5" s="1"/>
  <c r="J15" i="5"/>
  <c r="J18" i="5" s="1"/>
  <c r="J19" i="5" s="1"/>
  <c r="J21" i="5" s="1"/>
  <c r="J22" i="5" s="1"/>
  <c r="I15" i="5"/>
  <c r="I18" i="5" s="1"/>
  <c r="I19" i="5" s="1"/>
  <c r="I21" i="5" s="1"/>
  <c r="I22" i="5" s="1"/>
  <c r="M125" i="5"/>
  <c r="L114" i="5"/>
  <c r="L117" i="5" s="1"/>
  <c r="L118" i="5" s="1"/>
  <c r="L120" i="5" s="1"/>
  <c r="L121" i="5" s="1"/>
  <c r="K103" i="5"/>
  <c r="J92" i="5"/>
  <c r="J95" i="5" s="1"/>
  <c r="J96" i="5" s="1"/>
  <c r="J98" i="5" s="1"/>
  <c r="J99" i="5" s="1"/>
  <c r="I81" i="5"/>
  <c r="I84" i="5" s="1"/>
  <c r="I85" i="5" s="1"/>
  <c r="I87" i="5" s="1"/>
  <c r="I88" i="5" s="1"/>
  <c r="H70" i="5"/>
  <c r="H73" i="5" s="1"/>
  <c r="H74" i="5" s="1"/>
  <c r="H76" i="5" s="1"/>
  <c r="H77" i="5" s="1"/>
  <c r="G59" i="5"/>
  <c r="G62" i="5" s="1"/>
  <c r="M136" i="5"/>
  <c r="L125" i="5"/>
  <c r="L128" i="5" s="1"/>
  <c r="L129" i="5" s="1"/>
  <c r="L131" i="5" s="1"/>
  <c r="L132" i="5" s="1"/>
  <c r="K114" i="5"/>
  <c r="K117" i="5" s="1"/>
  <c r="K118" i="5" s="1"/>
  <c r="K120" i="5" s="1"/>
  <c r="K121" i="5" s="1"/>
  <c r="J103" i="5"/>
  <c r="J106" i="5" s="1"/>
  <c r="J107" i="5" s="1"/>
  <c r="J109" i="5" s="1"/>
  <c r="J110" i="5" s="1"/>
  <c r="I92" i="5"/>
  <c r="I95" i="5" s="1"/>
  <c r="I96" i="5" s="1"/>
  <c r="I98" i="5" s="1"/>
  <c r="I99" i="5" s="1"/>
  <c r="H81" i="5"/>
  <c r="H84" i="5" s="1"/>
  <c r="H85" i="5" s="1"/>
  <c r="H87" i="5" s="1"/>
  <c r="H88" i="5" s="1"/>
  <c r="G70" i="5"/>
  <c r="G73" i="5" s="1"/>
  <c r="L26" i="5"/>
  <c r="L29" i="5" s="1"/>
  <c r="L30" i="5" s="1"/>
  <c r="L32" i="5" s="1"/>
  <c r="L33" i="5" s="1"/>
  <c r="L136" i="5"/>
  <c r="L139" i="5" s="1"/>
  <c r="L140" i="5" s="1"/>
  <c r="L142" i="5" s="1"/>
  <c r="L143" i="5" s="1"/>
  <c r="K125" i="5"/>
  <c r="K128" i="5" s="1"/>
  <c r="K129" i="5" s="1"/>
  <c r="K131" i="5" s="1"/>
  <c r="K132" i="5" s="1"/>
  <c r="J114" i="5"/>
  <c r="J117" i="5" s="1"/>
  <c r="J118" i="5" s="1"/>
  <c r="J120" i="5" s="1"/>
  <c r="J121" i="5" s="1"/>
  <c r="I103" i="5"/>
  <c r="I106" i="5" s="1"/>
  <c r="I107" i="5" s="1"/>
  <c r="I109" i="5" s="1"/>
  <c r="I110" i="5" s="1"/>
  <c r="H92" i="5"/>
  <c r="H95" i="5" s="1"/>
  <c r="H96" i="5" s="1"/>
  <c r="H98" i="5" s="1"/>
  <c r="H99" i="5" s="1"/>
  <c r="G81" i="5"/>
  <c r="G84" i="5" s="1"/>
  <c r="K26" i="5"/>
  <c r="K29" i="5" s="1"/>
  <c r="K30" i="5" s="1"/>
  <c r="K32" i="5" s="1"/>
  <c r="K33" i="5" s="1"/>
  <c r="M59" i="5"/>
  <c r="L48" i="5"/>
  <c r="G136" i="5"/>
  <c r="G139" i="5" s="1"/>
  <c r="K48" i="5"/>
  <c r="J37" i="5"/>
  <c r="J40" i="5" s="1"/>
  <c r="J41" i="5" s="1"/>
  <c r="J43" i="5" s="1"/>
  <c r="J44" i="5" s="1"/>
  <c r="K136" i="5"/>
  <c r="K139" i="5" s="1"/>
  <c r="K140" i="5" s="1"/>
  <c r="K142" i="5" s="1"/>
  <c r="K143" i="5" s="1"/>
  <c r="J125" i="5"/>
  <c r="J128" i="5" s="1"/>
  <c r="J129" i="5" s="1"/>
  <c r="J131" i="5" s="1"/>
  <c r="J132" i="5" s="1"/>
  <c r="I114" i="5"/>
  <c r="I117" i="5" s="1"/>
  <c r="I118" i="5" s="1"/>
  <c r="I120" i="5" s="1"/>
  <c r="I121" i="5" s="1"/>
  <c r="H103" i="5"/>
  <c r="H106" i="5" s="1"/>
  <c r="H107" i="5" s="1"/>
  <c r="H109" i="5" s="1"/>
  <c r="H110" i="5" s="1"/>
  <c r="G92" i="5"/>
  <c r="G95" i="5" s="1"/>
  <c r="J26" i="5"/>
  <c r="J29" i="5" s="1"/>
  <c r="J30" i="5" s="1"/>
  <c r="J32" i="5" s="1"/>
  <c r="J33" i="5" s="1"/>
  <c r="J136" i="5"/>
  <c r="J139" i="5" s="1"/>
  <c r="J140" i="5" s="1"/>
  <c r="J142" i="5" s="1"/>
  <c r="J143" i="5" s="1"/>
  <c r="I125" i="5"/>
  <c r="I128" i="5" s="1"/>
  <c r="I129" i="5" s="1"/>
  <c r="I131" i="5" s="1"/>
  <c r="I132" i="5" s="1"/>
  <c r="H114" i="5"/>
  <c r="H117" i="5" s="1"/>
  <c r="H118" i="5" s="1"/>
  <c r="H120" i="5" s="1"/>
  <c r="H121" i="5" s="1"/>
  <c r="G103" i="5"/>
  <c r="G106" i="5" s="1"/>
  <c r="M37" i="5"/>
  <c r="I26" i="5"/>
  <c r="I136" i="5"/>
  <c r="I139" i="5" s="1"/>
  <c r="I140" i="5" s="1"/>
  <c r="I142" i="5" s="1"/>
  <c r="I143" i="5" s="1"/>
  <c r="H125" i="5"/>
  <c r="H128" i="5" s="1"/>
  <c r="H129" i="5" s="1"/>
  <c r="H131" i="5" s="1"/>
  <c r="H132" i="5" s="1"/>
  <c r="G114" i="5"/>
  <c r="G117" i="5" s="1"/>
  <c r="L37" i="5"/>
  <c r="L40" i="5" s="1"/>
  <c r="L41" i="5" s="1"/>
  <c r="L43" i="5" s="1"/>
  <c r="L44" i="5" s="1"/>
  <c r="H26" i="5"/>
  <c r="H29" i="5" s="1"/>
  <c r="H30" i="5" s="1"/>
  <c r="H32" i="5" s="1"/>
  <c r="H33" i="5" s="1"/>
  <c r="H136" i="5"/>
  <c r="H139" i="5" s="1"/>
  <c r="H140" i="5" s="1"/>
  <c r="H142" i="5" s="1"/>
  <c r="H143" i="5" s="1"/>
  <c r="G125" i="5"/>
  <c r="G128" i="5" s="1"/>
  <c r="K37" i="5"/>
  <c r="K40" i="5" s="1"/>
  <c r="K41" i="5" s="1"/>
  <c r="K43" i="5" s="1"/>
  <c r="K44" i="5" s="1"/>
  <c r="G26" i="5"/>
  <c r="M70" i="5"/>
  <c r="L59" i="5"/>
  <c r="L62" i="5" s="1"/>
  <c r="L63" i="5" s="1"/>
  <c r="L65" i="5" s="1"/>
  <c r="L66" i="5" s="1"/>
  <c r="L92" i="5"/>
  <c r="L95" i="5" s="1"/>
  <c r="L96" i="5" s="1"/>
  <c r="L98" i="5" s="1"/>
  <c r="L99" i="5" s="1"/>
  <c r="I37" i="5"/>
  <c r="I40" i="5" s="1"/>
  <c r="I41" i="5" s="1"/>
  <c r="I43" i="5" s="1"/>
  <c r="I44" i="5" s="1"/>
  <c r="J59" i="5"/>
  <c r="J62" i="5" s="1"/>
  <c r="J63" i="5" s="1"/>
  <c r="J65" i="5" s="1"/>
  <c r="J66" i="5" s="1"/>
  <c r="L70" i="5"/>
  <c r="L73" i="5" s="1"/>
  <c r="L74" i="5" s="1"/>
  <c r="L76" i="5" s="1"/>
  <c r="L77" i="5" s="1"/>
  <c r="I59" i="5"/>
  <c r="I62" i="5" s="1"/>
  <c r="I63" i="5" s="1"/>
  <c r="I65" i="5" s="1"/>
  <c r="I66" i="5" s="1"/>
  <c r="K70" i="5"/>
  <c r="J70" i="5"/>
  <c r="J73" i="5" s="1"/>
  <c r="J74" i="5" s="1"/>
  <c r="J76" i="5" s="1"/>
  <c r="J77" i="5" s="1"/>
  <c r="M92" i="5"/>
  <c r="K92" i="5"/>
  <c r="K95" i="5" s="1"/>
  <c r="K96" i="5" s="1"/>
  <c r="K98" i="5" s="1"/>
  <c r="K99" i="5" s="1"/>
  <c r="H37" i="5"/>
  <c r="H40" i="5" s="1"/>
  <c r="H41" i="5" s="1"/>
  <c r="H43" i="5" s="1"/>
  <c r="H44" i="5" s="1"/>
  <c r="M103" i="5"/>
  <c r="J48" i="5"/>
  <c r="J51" i="5" s="1"/>
  <c r="J52" i="5" s="1"/>
  <c r="J54" i="5" s="1"/>
  <c r="J55" i="5" s="1"/>
  <c r="G37" i="5"/>
  <c r="G40" i="5" s="1"/>
  <c r="G48" i="5"/>
  <c r="M81" i="5"/>
  <c r="I70" i="5"/>
  <c r="I73" i="5" s="1"/>
  <c r="I74" i="5" s="1"/>
  <c r="I76" i="5" s="1"/>
  <c r="I77" i="5" s="1"/>
  <c r="J81" i="5"/>
  <c r="J84" i="5" s="1"/>
  <c r="J85" i="5" s="1"/>
  <c r="J87" i="5" s="1"/>
  <c r="J88" i="5" s="1"/>
  <c r="L103" i="5"/>
  <c r="L106" i="5" s="1"/>
  <c r="L107" i="5" s="1"/>
  <c r="L109" i="5" s="1"/>
  <c r="L110" i="5" s="1"/>
  <c r="I48" i="5"/>
  <c r="I51" i="5" s="1"/>
  <c r="I52" i="5" s="1"/>
  <c r="I54" i="5" s="1"/>
  <c r="I55" i="5" s="1"/>
  <c r="K59" i="5"/>
  <c r="K62" i="5" s="1"/>
  <c r="K63" i="5" s="1"/>
  <c r="K65" i="5" s="1"/>
  <c r="K66" i="5" s="1"/>
  <c r="H48" i="5"/>
  <c r="H51" i="5" s="1"/>
  <c r="H52" i="5" s="1"/>
  <c r="H54" i="5" s="1"/>
  <c r="H55" i="5" s="1"/>
  <c r="M114" i="5"/>
  <c r="H59" i="5"/>
  <c r="H62" i="5" s="1"/>
  <c r="H63" i="5" s="1"/>
  <c r="H65" i="5" s="1"/>
  <c r="H66" i="5" s="1"/>
  <c r="L81" i="5"/>
  <c r="L84" i="5" s="1"/>
  <c r="L85" i="5" s="1"/>
  <c r="L87" i="5" s="1"/>
  <c r="L88" i="5" s="1"/>
  <c r="K81" i="5"/>
  <c r="H15" i="5"/>
  <c r="H18" i="5" s="1"/>
  <c r="H19" i="5" s="1"/>
  <c r="H21" i="5" s="1"/>
  <c r="H22" i="5" s="1"/>
  <c r="G51" i="5" l="1"/>
  <c r="G52" i="5" s="1"/>
  <c r="M48" i="5"/>
  <c r="M26" i="5"/>
  <c r="M15" i="5"/>
  <c r="M18" i="5"/>
  <c r="G85" i="5"/>
  <c r="K73" i="5"/>
  <c r="M95" i="5"/>
  <c r="G96" i="5"/>
  <c r="K84" i="5"/>
  <c r="K85" i="5" s="1"/>
  <c r="K87" i="5" s="1"/>
  <c r="K88" i="5" s="1"/>
  <c r="M40" i="5"/>
  <c r="G41" i="5"/>
  <c r="I29" i="5"/>
  <c r="I30" i="5" s="1"/>
  <c r="I32" i="5" s="1"/>
  <c r="I33" i="5" s="1"/>
  <c r="K106" i="5"/>
  <c r="K107" i="5" s="1"/>
  <c r="K109" i="5" s="1"/>
  <c r="K110" i="5" s="1"/>
  <c r="M128" i="5"/>
  <c r="G129" i="5"/>
  <c r="M62" i="5"/>
  <c r="G63" i="5"/>
  <c r="M117" i="5"/>
  <c r="G118" i="5"/>
  <c r="K51" i="5"/>
  <c r="K52" i="5" s="1"/>
  <c r="K54" i="5" s="1"/>
  <c r="K55" i="5" s="1"/>
  <c r="G74" i="5"/>
  <c r="G29" i="5"/>
  <c r="G107" i="5"/>
  <c r="M139" i="5"/>
  <c r="G140" i="5"/>
  <c r="L51" i="5"/>
  <c r="L52" i="5" s="1"/>
  <c r="L54" i="5" s="1"/>
  <c r="L55" i="5" s="1"/>
  <c r="M19" i="5"/>
  <c r="G21" i="5"/>
  <c r="K74" i="5" l="1"/>
  <c r="M73" i="5"/>
  <c r="M84" i="5"/>
  <c r="M29" i="5"/>
  <c r="G30" i="5"/>
  <c r="G120" i="5"/>
  <c r="M118" i="5"/>
  <c r="G87" i="5"/>
  <c r="M85" i="5"/>
  <c r="M63" i="5"/>
  <c r="G65" i="5"/>
  <c r="G76" i="5"/>
  <c r="G109" i="5"/>
  <c r="M107" i="5"/>
  <c r="G54" i="5"/>
  <c r="M52" i="5"/>
  <c r="G43" i="5"/>
  <c r="M41" i="5"/>
  <c r="M129" i="5"/>
  <c r="G131" i="5"/>
  <c r="M96" i="5"/>
  <c r="G98" i="5"/>
  <c r="M140" i="5"/>
  <c r="G142" i="5"/>
  <c r="M106" i="5"/>
  <c r="M51" i="5"/>
  <c r="G22" i="5"/>
  <c r="M22" i="5" s="1"/>
  <c r="M21" i="5"/>
  <c r="K76" i="5" l="1"/>
  <c r="K77" i="5" s="1"/>
  <c r="M74" i="5"/>
  <c r="M109" i="5"/>
  <c r="G110" i="5"/>
  <c r="M110" i="5" s="1"/>
  <c r="G143" i="5"/>
  <c r="M143" i="5" s="1"/>
  <c r="M142" i="5"/>
  <c r="G77" i="5"/>
  <c r="M77" i="5" s="1"/>
  <c r="M76" i="5"/>
  <c r="M98" i="5"/>
  <c r="G99" i="5"/>
  <c r="M99" i="5" s="1"/>
  <c r="G66" i="5"/>
  <c r="M66" i="5" s="1"/>
  <c r="M65" i="5"/>
  <c r="G132" i="5"/>
  <c r="M132" i="5" s="1"/>
  <c r="M131" i="5"/>
  <c r="M87" i="5"/>
  <c r="G88" i="5"/>
  <c r="M88" i="5" s="1"/>
  <c r="M43" i="5"/>
  <c r="G44" i="5"/>
  <c r="M44" i="5" s="1"/>
  <c r="G121" i="5"/>
  <c r="M121" i="5" s="1"/>
  <c r="M120" i="5"/>
  <c r="G137" i="5"/>
  <c r="G138" i="5" s="1"/>
  <c r="J38" i="5"/>
  <c r="J39" i="5" s="1"/>
  <c r="J49" i="5"/>
  <c r="J50" i="5" s="1"/>
  <c r="I38" i="5"/>
  <c r="I39" i="5" s="1"/>
  <c r="J60" i="5"/>
  <c r="J61" i="5" s="1"/>
  <c r="I49" i="5"/>
  <c r="I50" i="5" s="1"/>
  <c r="H38" i="5"/>
  <c r="H39" i="5" s="1"/>
  <c r="J104" i="5"/>
  <c r="J105" i="5" s="1"/>
  <c r="J115" i="5"/>
  <c r="J116" i="5" s="1"/>
  <c r="I104" i="5"/>
  <c r="I105" i="5" s="1"/>
  <c r="H93" i="5"/>
  <c r="H94" i="5" s="1"/>
  <c r="I115" i="5"/>
  <c r="I116" i="5" s="1"/>
  <c r="J71" i="5"/>
  <c r="J72" i="5" s="1"/>
  <c r="I60" i="5"/>
  <c r="I61" i="5" s="1"/>
  <c r="H49" i="5"/>
  <c r="H50" i="5" s="1"/>
  <c r="G38" i="5"/>
  <c r="G39" i="5" s="1"/>
  <c r="H16" i="5"/>
  <c r="H17" i="5" s="1"/>
  <c r="J82" i="5"/>
  <c r="J83" i="5" s="1"/>
  <c r="I71" i="5"/>
  <c r="I72" i="5" s="1"/>
  <c r="H60" i="5"/>
  <c r="H61" i="5" s="1"/>
  <c r="G49" i="5"/>
  <c r="I16" i="5"/>
  <c r="I17" i="5" s="1"/>
  <c r="J93" i="5"/>
  <c r="J94" i="5" s="1"/>
  <c r="I82" i="5"/>
  <c r="I83" i="5" s="1"/>
  <c r="H71" i="5"/>
  <c r="H72" i="5" s="1"/>
  <c r="G60" i="5"/>
  <c r="G61" i="5" s="1"/>
  <c r="J16" i="5"/>
  <c r="J17" i="5" s="1"/>
  <c r="I93" i="5"/>
  <c r="I94" i="5" s="1"/>
  <c r="H82" i="5"/>
  <c r="H83" i="5" s="1"/>
  <c r="G71" i="5"/>
  <c r="G72" i="5" s="1"/>
  <c r="K16" i="5"/>
  <c r="K17" i="5" s="1"/>
  <c r="G82" i="5"/>
  <c r="G83" i="5" s="1"/>
  <c r="L16" i="5"/>
  <c r="L17" i="5" s="1"/>
  <c r="J126" i="5"/>
  <c r="J127" i="5" s="1"/>
  <c r="H104" i="5"/>
  <c r="H105" i="5" s="1"/>
  <c r="I137" i="5"/>
  <c r="I138" i="5" s="1"/>
  <c r="I126" i="5"/>
  <c r="I127" i="5" s="1"/>
  <c r="G93" i="5"/>
  <c r="G94" i="5" s="1"/>
  <c r="G16" i="5"/>
  <c r="J137" i="5"/>
  <c r="J138" i="5" s="1"/>
  <c r="G104" i="5"/>
  <c r="G105" i="5" s="1"/>
  <c r="H126" i="5"/>
  <c r="H127" i="5" s="1"/>
  <c r="H137" i="5"/>
  <c r="H138" i="5" s="1"/>
  <c r="H115" i="5"/>
  <c r="H116" i="5" s="1"/>
  <c r="G115" i="5"/>
  <c r="G116" i="5" s="1"/>
  <c r="G126" i="5"/>
  <c r="G127" i="5" s="1"/>
  <c r="L115" i="5"/>
  <c r="L116" i="5" s="1"/>
  <c r="K137" i="5"/>
  <c r="K138" i="5" s="1"/>
  <c r="L60" i="5"/>
  <c r="L61" i="5" s="1"/>
  <c r="L137" i="5"/>
  <c r="L138" i="5" s="1"/>
  <c r="J27" i="5"/>
  <c r="J28" i="5" s="1"/>
  <c r="K126" i="5"/>
  <c r="K127" i="5" s="1"/>
  <c r="L82" i="5"/>
  <c r="L83" i="5" s="1"/>
  <c r="L104" i="5"/>
  <c r="L105" i="5" s="1"/>
  <c r="L93" i="5"/>
  <c r="L94" i="5" s="1"/>
  <c r="L38" i="5"/>
  <c r="L39" i="5" s="1"/>
  <c r="K93" i="5"/>
  <c r="K94" i="5" s="1"/>
  <c r="L126" i="5"/>
  <c r="L127" i="5" s="1"/>
  <c r="H27" i="5"/>
  <c r="H28" i="5" s="1"/>
  <c r="L71" i="5"/>
  <c r="L72" i="5" s="1"/>
  <c r="K38" i="5"/>
  <c r="K39" i="5" s="1"/>
  <c r="L27" i="5"/>
  <c r="L28" i="5" s="1"/>
  <c r="K115" i="5"/>
  <c r="K116" i="5" s="1"/>
  <c r="K27" i="5"/>
  <c r="K28" i="5" s="1"/>
  <c r="K60" i="5"/>
  <c r="K61" i="5" s="1"/>
  <c r="K71" i="5"/>
  <c r="K72" i="5" s="1"/>
  <c r="K104" i="5"/>
  <c r="K105" i="5" s="1"/>
  <c r="M104" i="5"/>
  <c r="M105" i="5" s="1"/>
  <c r="M71" i="5"/>
  <c r="M72" i="5" s="1"/>
  <c r="M38" i="5"/>
  <c r="M39" i="5" s="1"/>
  <c r="M126" i="5"/>
  <c r="M127" i="5" s="1"/>
  <c r="M137" i="5"/>
  <c r="M138" i="5" s="1"/>
  <c r="K49" i="5"/>
  <c r="K50" i="5" s="1"/>
  <c r="L49" i="5"/>
  <c r="L50" i="5" s="1"/>
  <c r="M82" i="5"/>
  <c r="M83" i="5" s="1"/>
  <c r="M60" i="5"/>
  <c r="M61" i="5" s="1"/>
  <c r="M115" i="5"/>
  <c r="M116" i="5" s="1"/>
  <c r="G27" i="5"/>
  <c r="K82" i="5"/>
  <c r="K83" i="5" s="1"/>
  <c r="M93" i="5"/>
  <c r="M94" i="5" s="1"/>
  <c r="I27" i="5"/>
  <c r="I28" i="5" s="1"/>
  <c r="G32" i="5"/>
  <c r="M30" i="5"/>
  <c r="G55" i="5"/>
  <c r="M55" i="5" s="1"/>
  <c r="M54" i="5"/>
  <c r="G50" i="5" l="1"/>
  <c r="M50" i="5" s="1"/>
  <c r="M49" i="5"/>
  <c r="G28" i="5"/>
  <c r="M28" i="5" s="1"/>
  <c r="M27" i="5"/>
  <c r="G17" i="5"/>
  <c r="M17" i="5" s="1"/>
  <c r="M16" i="5"/>
  <c r="M32" i="5"/>
  <c r="G33" i="5"/>
  <c r="M3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<sst xmlns="http://schemas.openxmlformats.org/spreadsheetml/2006/main" count="308" uniqueCount="71">
  <si>
    <t>Valor 140</t>
  </si>
  <si>
    <t>Acevedo Carlos</t>
  </si>
  <si>
    <t>Talca</t>
  </si>
  <si>
    <t>Contreras Marco</t>
  </si>
  <si>
    <t>Inostroza Samuel</t>
  </si>
  <si>
    <t>Curico</t>
  </si>
  <si>
    <t>Lizama Cristian</t>
  </si>
  <si>
    <t>San Fernando</t>
  </si>
  <si>
    <t>Orellana Pablo</t>
  </si>
  <si>
    <t>Picart Mauricio</t>
  </si>
  <si>
    <t>Total</t>
  </si>
  <si>
    <t>Auditores</t>
  </si>
  <si>
    <t>RESUMEN AUDITORES EL ROBLE 2</t>
  </si>
  <si>
    <t>Kilometraje año 2025</t>
  </si>
  <si>
    <t>Parral</t>
  </si>
  <si>
    <t>Clientes visitados 2025</t>
  </si>
  <si>
    <t>Clientes por visitar 2026</t>
  </si>
  <si>
    <t>Pago 120*km 2025</t>
  </si>
  <si>
    <t>Nuevo gasto 2026</t>
  </si>
  <si>
    <t>Km con bono</t>
  </si>
  <si>
    <t>Diferencia de Km</t>
  </si>
  <si>
    <t>Bono estabilización</t>
  </si>
  <si>
    <t>Pago 140*km sin bono</t>
  </si>
  <si>
    <t>Km Enero 2025 ($120)</t>
  </si>
  <si>
    <t>Nuevo valor</t>
  </si>
  <si>
    <t>%</t>
  </si>
  <si>
    <t>$ bencina antiguo</t>
  </si>
  <si>
    <t>$ bencina actual</t>
  </si>
  <si>
    <t>diferencia</t>
  </si>
  <si>
    <t>Rendimiento del auto auditor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</si>
  <si>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</si>
  <si>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</si>
  <si>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</si>
  <si>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</si>
  <si>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</si>
  <si>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</si>
  <si>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</si>
  <si>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</si>
  <si>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</si>
  <si>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</si>
  <si>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</si>
  <si>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Km Febrero 2025 ($120)</t>
  </si>
  <si>
    <t>Km Marzo 2025 ($120)</t>
  </si>
  <si>
    <t>Diciembre</t>
  </si>
  <si>
    <t>Talca2</t>
  </si>
  <si>
    <t>Talca3</t>
  </si>
  <si>
    <t>Resumen Auditores</t>
  </si>
  <si>
    <t>Km Abril 2025 ($120)</t>
  </si>
  <si>
    <t>Variables bono estabilización</t>
  </si>
  <si>
    <t>Km Mayo 2025 ($120)</t>
  </si>
  <si>
    <t>Km Junio 2025 ($120)</t>
  </si>
  <si>
    <t>Km Julio 2025 ($120)</t>
  </si>
  <si>
    <t>Km Agosto 2025 ($120)</t>
  </si>
  <si>
    <t>Km Septiembre 2025 ($120)</t>
  </si>
  <si>
    <t>Km Octubre 2025 ($120)</t>
  </si>
  <si>
    <t>Km Noviembre 2025 ($120)</t>
  </si>
  <si>
    <t>Km Diciembre 2025 ($120)</t>
  </si>
  <si>
    <t>EL JUEVES 16/04/26, AUMENTO EL VALOR DE LA BENCINA</t>
  </si>
  <si>
    <t>Precio de la bencina ($/Litro)</t>
  </si>
  <si>
    <t>Generar informe PDF</t>
  </si>
  <si>
    <t>Auditor</t>
  </si>
  <si>
    <t>Bono Estabilizacion</t>
  </si>
  <si>
    <t>Pago por Km</t>
  </si>
  <si>
    <t>Saldo final</t>
  </si>
  <si>
    <t>Complete los campos y precione el botón para generar el PDF</t>
  </si>
  <si>
    <t>INFORME MENSUAL</t>
  </si>
  <si>
    <t>Mes del informe</t>
  </si>
  <si>
    <t>El PDF se guarda en la misma carpeta de este archivo.</t>
  </si>
  <si>
    <t>RESUMEN DEL MES DE MARZO</t>
  </si>
  <si>
    <t>Precio bencina del mes: $1.496 / litro</t>
  </si>
  <si>
    <t>Generado el 30-06-2026 11:39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</si>
</sst>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"/>
    <numFmt numFmtId="165" formatCode="_-* #,##0.00_-;\-* #,##0.00_-;_-* &quot;-&quot;??_-;_-@_-"/>
    <numFmt numFmtId="166" formatCode="0\ &quot;L&quot;"/>
    <numFmt numFmtId="167" formatCode="#,#00\ &quot;km&quot;"/>
  </numFmts>
  <fonts count="17" x14ac:knownFonts="1">
    <font>
      <sz val="12"/>
      <color theme="1"/>
      <name val="Aptos"/>
      <family val="2"/>
    </font>
    <font>
      <sz val="12"/>
      <color theme="1"/>
      <name val="Aptos"/>
      <family val="2"/>
    </font>
    <font>
      <sz val="8"/>
      <name val="Aptos"/>
      <family val="2"/>
    </font>
    <font>
      <sz val="12"/>
      <color theme="1"/>
      <name val="Montserrat"/>
    </font>
    <font>
      <b/>
      <sz val="12"/>
      <color theme="0"/>
      <name val="Montserrat"/>
    </font>
    <font>
      <b/>
      <sz val="20"/>
      <color theme="0"/>
      <name val="Montserrat"/>
    </font>
    <font>
      <b/>
      <sz val="26"/>
      <color theme="0"/>
      <name val="Montserrat"/>
    </font>
    <font>
      <b/>
      <sz val="12"/>
      <color theme="1"/>
      <name val="Montserrat"/>
    </font>
    <font>
      <sz val="11"/>
      <color theme="1"/>
      <name val="Aptos Narrow"/>
      <family val="2"/>
      <scheme val="minor"/>
    </font>
    <font>
      <b/>
      <sz val="12"/>
      <color theme="1"/>
      <name val="Aptos"/>
      <family val="2"/>
    </font>
    <font>
      <b/>
      <sz val="22"/>
      <color rgb="FFFFFFFF"/>
      <name val="Calibri"/>
      <family val="2"/>
    </font>
    <font>
      <b/>
      <sz val="13"/>
      <color rgb="FF375623"/>
      <name val="Calibri"/>
      <family val="2"/>
    </font>
    <font>
      <b/>
      <sz val="11"/>
      <color rgb="FFFFFFFF"/>
      <name val="Calibri"/>
      <family val="2"/>
    </font>
    <font>
      <i/>
      <sz val="9"/>
      <color rgb="FF7F7F7F"/>
      <name val="Aptos"/>
      <family val="2"/>
    </font>
    <font>
      <b/>
      <sz val="16"/>
      <color theme="0"/>
      <name val="Aptos"/>
      <family val="2"/>
    </font>
    <font>
      <b/>
      <sz val="9"/>
      <color theme="0"/>
      <name val="Aptos"/>
      <family val="2"/>
    </font>
    <font>
      <sz val="8"/>
      <color theme="1" tint="0.34998626667073579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E4F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</fills>
  <borders count="14">
    <border>
      <left/>
      <right/>
      <top/>
      <bottom/>
      <diagonal/>
    </border>
    <border>
      <left style="thick">
        <color theme="3" tint="9.9978637043366805E-2"/>
      </left>
      <right style="thick">
        <color theme="3" tint="9.9978637043366805E-2"/>
      </right>
      <top style="thick">
        <color theme="3" tint="9.9978637043366805E-2"/>
      </top>
      <bottom/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/>
      <diagonal/>
    </border>
    <border>
      <left style="thick">
        <color theme="3"/>
      </left>
      <right style="thick">
        <color theme="3"/>
      </right>
      <top/>
      <bottom/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/>
      <top style="thick">
        <color theme="3"/>
      </top>
      <bottom/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1" fontId="1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47">
    <xf numFmtId="0" fontId="0" fillId="0" borderId="0" xfId="0"/>
    <xf numFmtId="0" fontId="3" fillId="5" borderId="0" xfId="0" applyFont="1" applyFill="1"/>
    <xf numFmtId="0" fontId="3" fillId="0" borderId="0" xfId="0" applyFont="1"/>
    <xf numFmtId="41" fontId="3" fillId="0" borderId="0" xfId="0" applyNumberFormat="1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6" borderId="4" xfId="0" applyFont="1" applyFill="1" applyBorder="1"/>
    <xf numFmtId="0" fontId="3" fillId="0" borderId="5" xfId="0" applyFont="1" applyBorder="1"/>
    <xf numFmtId="0" fontId="7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167" fontId="4" fillId="3" borderId="3" xfId="1" applyNumberFormat="1" applyFont="1" applyFill="1" applyBorder="1" applyAlignment="1">
      <alignment horizontal="center"/>
    </xf>
    <xf numFmtId="167" fontId="3" fillId="0" borderId="7" xfId="1" applyNumberFormat="1" applyFont="1" applyBorder="1" applyAlignment="1">
      <alignment horizontal="center"/>
    </xf>
    <xf numFmtId="167" fontId="3" fillId="0" borderId="0" xfId="1" applyNumberFormat="1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6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7" fillId="0" borderId="2" xfId="0" applyFont="1" applyBorder="1"/>
    <xf numFmtId="41" fontId="4" fillId="3" borderId="3" xfId="1" applyFont="1" applyFill="1" applyBorder="1" applyAlignment="1">
      <alignment horizontal="center"/>
    </xf>
    <xf numFmtId="41" fontId="4" fillId="3" borderId="2" xfId="1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left"/>
    </xf>
    <xf numFmtId="164" fontId="0" fillId="10" borderId="10" xfId="0" applyNumberFormat="1" applyFill="1" applyBorder="1" applyAlignment="1">
      <alignment horizontal="center"/>
    </xf>
    <xf numFmtId="0" fontId="9" fillId="11" borderId="10" xfId="0" applyFont="1" applyFill="1" applyBorder="1" applyAlignment="1">
      <alignment horizontal="left"/>
    </xf>
    <xf numFmtId="164" fontId="0" fillId="11" borderId="10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0" fontId="0" fillId="15" borderId="12" xfId="0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4" fillId="5" borderId="2" xfId="0" applyFont="1" applyFill="1" applyBorder="1" applyAlignment="1">
      <alignment horizontal="center"/>
    </xf>
  </cellXfs>
  <cellStyles count="6">
    <cellStyle name="Millares [0]" xfId="1" builtinId="6"/>
    <cellStyle name="Millares 2" xfId="3" xr:uid="{9280AE8C-D8E6-4C0C-AA2E-C9595BE3906E}"/>
    <cellStyle name="Moneda [0] 2" xfId="4" xr:uid="{3B428D5A-B7E6-47D0-91F5-AD899EFFEDAF}"/>
    <cellStyle name="Normal" xfId="0" builtinId="0"/>
    <cellStyle name="Normal 2" xfId="2" xr:uid="{A8D103AD-C130-47B4-AF5A-7712AF1A0125}"/>
    <cellStyle name="Porcentaje 2" xfId="5" xr:uid="{7AEF5853-FAA9-47A3-A42D-FB86A1C43C89}"/>
  </cellStyles>
  <dxfs count="11"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  <border diagonalUp="0" diagonalDown="0" outline="0">
        <left style="thick">
          <color theme="3"/>
        </left>
        <right style="thick">
          <color theme="3"/>
        </right>
      </border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numFmt numFmtId="164" formatCode="&quot;$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ontserrat"/>
        <scheme val="none"/>
      </font>
      <border diagonalUp="0" diagonalDown="0">
        <left style="thick">
          <color theme="3"/>
        </left>
        <right style="thick">
          <color theme="3"/>
        </right>
        <vertical/>
      </border>
    </dxf>
    <dxf>
      <font>
        <strike val="0"/>
        <outline val="0"/>
        <shadow val="0"/>
        <u val="none"/>
        <vertAlign val="baseline"/>
        <name val="Montserrat"/>
        <scheme val="none"/>
      </font>
    </dxf>
    <dxf>
      <font>
        <strike val="0"/>
        <outline val="0"/>
        <shadow val="0"/>
        <u val="none"/>
        <vertAlign val="baseline"/>
        <name val="Montserrat"/>
        <scheme val="none"/>
      </font>
    </dxf>
    <dxf>
      <font>
        <strike val="0"/>
        <outline val="0"/>
        <shadow val="0"/>
        <u val="none"/>
        <vertAlign val="baseline"/>
        <name val="Montserrat"/>
        <scheme val="none"/>
      </font>
    </dxf>
  </dxfs>
  <tableStyles count="0" defaultTableStyle="TableStyleMedium2" defaultPivotStyle="PivotStyleLight16"/>
  <colors>
    <mruColors>
      <color rgb="FFCC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1147948</xdr:colOff>
      <xdr:row>7</xdr:row>
      <xdr:rowOff>175260</xdr:rowOff>
    </xdr:from>
    <xdr:to>
      <xdr:col>5</xdr:col>
      <xdr:colOff>14843</xdr:colOff>
      <xdr:row>9</xdr:row>
      <xdr:rowOff>19792</xdr:rowOff>
    </xdr:to>
    <xdr:sp macro="[0]!Módulo1.GenerarInforme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43CF3A6-80E8-B9CA-5698-33E8D0E85A9F}"/>
            </a:ext>
          </a:extLst>
        </xdr:cNvPr>
        <xdr:cNvSpPr/>
      </xdr:nvSpPr>
      <xdr:spPr>
        <a:xfrm>
          <a:off x="1147948" y="1551586"/>
          <a:ext cx="4511996" cy="242268"/>
        </a:xfrm>
        <a:prstGeom prst="roundRect">
          <a:avLst>
            <a:gd name="adj" fmla="val 17491"/>
          </a:avLst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Generar</a:t>
          </a:r>
          <a:r>
            <a:rPr lang="es-CL" sz="1100" b="1" baseline="0"/>
            <a:t> informe PDF</a:t>
          </a:r>
          <a:endParaRPr lang="es-CL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193941</xdr:colOff>
      <xdr:row>13</xdr:row>
      <xdr:rowOff>0</xdr:rowOff>
    </xdr:from>
    <xdr:to>
      <xdr:col>3</xdr:col>
      <xdr:colOff>615763</xdr:colOff>
      <xdr:row>89</xdr:row>
      <xdr:rowOff>3999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esumen Auditores">
              <a:extLst>
                <a:ext uri="{FF2B5EF4-FFF2-40B4-BE49-F238E27FC236}">
                  <a16:creationId xmlns:a16="http://schemas.microsoft.com/office/drawing/2014/main" id="{261085F4-2292-5B1B-3848-F757047B08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umen Audito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1163" y="3692462"/>
              <a:ext cx="2256267" cy="2864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sumen_Auditores" xr10:uid="{A2750295-A4FD-4ACE-AFCC-38B6DD29BEAE}" sourceName="Resumen Auditores">
  <extLst>
    <x:ext xmlns:x15="http://schemas.microsoft.com/office/spreadsheetml/2010/11/main" uri="{2F2917AC-EB37-4324-AD4E-5DD8C200BD13}">
      <x15:tableSlicerCache tableId="1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umen Auditores" xr10:uid="{7BCF486F-9264-411D-B4B7-936B99BA8212}" cache="SegmentaciónDeDatos_Resumen_Auditores" caption="Resumen Auditores" rowHeight="2730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63BE43-A968-48EC-86FA-AB2D8E21F292}" name="Tabla1" displayName="Tabla1" ref="E13:M145" totalsRowShown="0" headerRowDxfId="10" dataDxfId="9">
  <autoFilter ref="E13:M145" xr:uid="{2B63BE43-A968-48EC-86FA-AB2D8E21F292}">
    <filterColumn colId="0" hiddenButton="1">
      <filters>
        <filter val="Julio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33489000-7303-4CE4-8672-460EB0D3952E}" name="Resumen Auditores" dataDxfId="8"/>
    <tableColumn id="2" xr3:uid="{1E36DD1E-E5B8-4F23-9EBC-9A3D2C1FC2CD}" name="Kilometraje año 2025" dataDxfId="7"/>
    <tableColumn id="3" xr3:uid="{9B104066-4964-4B1A-BCC7-38C66ECD935F}" name="Talca" dataDxfId="6"/>
    <tableColumn id="4" xr3:uid="{8AD28FD0-ABB0-4EFC-82AE-FBF63973DADE}" name="Parral" dataDxfId="5"/>
    <tableColumn id="5" xr3:uid="{80D4C448-6C3B-4920-B240-B42CCAF1D949}" name="Curico" dataDxfId="4"/>
    <tableColumn id="6" xr3:uid="{3D6DEFC0-AB40-47CF-BFD9-4ED98100756A}" name="San Fernando" dataDxfId="3"/>
    <tableColumn id="7" xr3:uid="{ED667BFE-DE1B-499B-9893-AE92FEA5F6EA}" name="Talca2" dataDxfId="2"/>
    <tableColumn id="8" xr3:uid="{577CFC69-78BD-4ABD-A562-8ED4329F776F}" name="Talca3" dataDxfId="1"/>
    <tableColumn id="9" xr3:uid="{3697A353-AFB3-43CF-833F-75F8D4D3F5E2}" name="Total" dataDxfId="0">
      <calculatedColumnFormula>SUM(G14:L14)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F5AED-2645-44CD-80F1-7B3AC4B73D18}">
  <sheetPr codeName="Hoja2">
    <tabColor theme="5" tint="-0.249977111117893"/>
  </sheetPr>
  <dimension ref="B2:E10"/>
  <sheetViews>
    <sheetView zoomScale="104" zoomScaleNormal="102" workbookViewId="0">
      <selection activeCell="D7" sqref="D7"/>
    </sheetView>
  </sheetViews>
  <sheetFormatPr baseColWidth="10" defaultRowHeight="15.6" x14ac:dyDescent="0.3"/>
  <cols>
    <col min="1" max="1" width="13.7265625" customWidth="1"/>
    <col min="2" max="2" width="5" customWidth="1"/>
    <col min="3" max="3" width="23.6328125" bestFit="1" customWidth="1"/>
    <col min="5" max="5" width="8" customWidth="1"/>
  </cols>
  <sheetData>
    <row r="2" spans="2:5" ht="30" customHeight="1" x14ac:dyDescent="0.3">
      <c r="B2" s="41" t="s">
        <v>65</v>
      </c>
      <c r="C2" s="41"/>
      <c r="D2" s="41"/>
      <c r="E2" s="41"/>
    </row>
    <row r="3" spans="2:5" x14ac:dyDescent="0.3">
      <c r="B3" s="42" t="s">
        <v>64</v>
      </c>
      <c r="C3" s="42"/>
      <c r="D3" s="42"/>
      <c r="E3" s="42"/>
    </row>
    <row r="4" spans="2:5" ht="16.2" thickBot="1" x14ac:dyDescent="0.35"/>
    <row r="5" spans="2:5" ht="16.2" thickBot="1" x14ac:dyDescent="0.35">
      <c r="C5" s="32" t="s">
        <v>66</v>
      </c>
      <c r="D5" s="35" t="s">
        <v>32</v>
      </c>
    </row>
    <row r="6" spans="2:5" ht="16.2" thickBot="1" x14ac:dyDescent="0.35">
      <c r="C6" s="31"/>
      <c r="D6" s="31"/>
    </row>
    <row r="7" spans="2:5" ht="16.2" thickBot="1" x14ac:dyDescent="0.35">
      <c r="C7" s="33" t="s">
        <v>58</v>
      </c>
      <c r="D7" s="34">
        <v>1496</v>
      </c>
    </row>
    <row r="9" spans="2:5" x14ac:dyDescent="0.3">
      <c r="C9" t="s">
        <v>59</v>
      </c>
    </row>
    <row r="10" spans="2:5" x14ac:dyDescent="0.3">
      <c r="B10" s="43" t="s">
        <v>67</v>
      </c>
      <c r="C10" s="43"/>
      <c r="D10" s="43"/>
      <c r="E10" s="43"/>
    </row>
  </sheetData>
  <mergeCells count="3">
    <mergeCell ref="B2:E2"/>
    <mergeCell ref="B3:E3"/>
    <mergeCell ref="B10:E10"/>
  </mergeCells>
  <dataValidations count="1">
    <dataValidation type="list" allowBlank="1" showInputMessage="1" showErrorMessage="1" sqref="D5:D6" xr:uid="{3390DFD5-4ADA-4447-A011-B08A7E3511C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11F5F-049C-47ED-963A-7A0C2D27A192}">
  <sheetPr codeName="Hoja1">
    <tabColor rgb="FF002060"/>
  </sheetPr>
  <dimension ref="A1:P146"/>
  <sheetViews>
    <sheetView tabSelected="1" topLeftCell="I3" zoomScale="58" zoomScaleNormal="130" workbookViewId="0">
      <selection activeCell="G146" sqref="G146"/>
    </sheetView>
  </sheetViews>
  <sheetFormatPr baseColWidth="10" defaultColWidth="11.08984375" defaultRowHeight="20.399999999999999" x14ac:dyDescent="0.6"/>
  <cols>
    <col min="1" max="3" width="11.08984375" style="1"/>
    <col min="4" max="4" width="11.08984375" style="2"/>
    <col min="5" max="5" width="10.08984375" style="2" hidden="1" customWidth="1"/>
    <col min="6" max="6" width="30.1796875" style="2" bestFit="1" customWidth="1"/>
    <col min="7" max="7" width="16.08984375" style="2" bestFit="1" customWidth="1"/>
    <col min="8" max="8" width="17.08984375" style="2" bestFit="1" customWidth="1"/>
    <col min="9" max="9" width="18" style="2" bestFit="1" customWidth="1"/>
    <col min="10" max="10" width="17.36328125" style="2" bestFit="1" customWidth="1"/>
    <col min="11" max="11" width="15.36328125" style="2" bestFit="1" customWidth="1"/>
    <col min="12" max="12" width="15.54296875" style="2" customWidth="1"/>
    <col min="13" max="13" width="13.6328125" style="2" bestFit="1" customWidth="1"/>
    <col min="14" max="14" width="11.08984375" style="2"/>
    <col min="15" max="15" width="18.90625" style="2" bestFit="1" customWidth="1"/>
    <col min="16" max="16384" width="11.08984375" style="2"/>
  </cols>
  <sheetData>
    <row r="1" spans="3:16" s="1" customFormat="1" x14ac:dyDescent="0.6"/>
    <row r="2" spans="3:16" s="1" customFormat="1" x14ac:dyDescent="0.6"/>
    <row r="3" spans="3:16" s="1" customFormat="1" x14ac:dyDescent="0.6"/>
    <row r="4" spans="3:16" s="1" customFormat="1" x14ac:dyDescent="0.6"/>
    <row r="5" spans="3:16" s="1" customFormat="1" ht="43.8" x14ac:dyDescent="1.25">
      <c r="C5" s="45" t="s">
        <v>12</v>
      </c>
      <c r="D5" s="45"/>
      <c r="E5" s="45"/>
      <c r="F5" s="45"/>
      <c r="G5" s="45"/>
      <c r="H5" s="45"/>
      <c r="I5" s="45"/>
    </row>
    <row r="6" spans="3:16" s="1" customFormat="1" x14ac:dyDescent="0.6"/>
    <row r="7" spans="3:16" s="1" customFormat="1" ht="21" thickBot="1" x14ac:dyDescent="0.65"/>
    <row r="8" spans="3:16" s="1" customFormat="1" ht="21.6" thickTop="1" thickBot="1" x14ac:dyDescent="0.65">
      <c r="O8" s="46" t="s">
        <v>48</v>
      </c>
      <c r="P8" s="46"/>
    </row>
    <row r="9" spans="3:16" ht="21.6" thickTop="1" thickBot="1" x14ac:dyDescent="0.65">
      <c r="O9" s="23" t="s">
        <v>24</v>
      </c>
      <c r="P9" s="23">
        <v>140</v>
      </c>
    </row>
    <row r="10" spans="3:16" ht="21.6" hidden="1" thickTop="1" thickBot="1" x14ac:dyDescent="0.65">
      <c r="O10" s="23" t="s">
        <v>25</v>
      </c>
      <c r="P10" s="23">
        <v>100</v>
      </c>
    </row>
    <row r="11" spans="3:16" ht="35.4" thickTop="1" thickBot="1" x14ac:dyDescent="0.65">
      <c r="G11" s="44" t="s">
        <v>11</v>
      </c>
      <c r="H11" s="44"/>
      <c r="I11" s="44"/>
      <c r="J11" s="44"/>
      <c r="K11" s="44"/>
      <c r="L11" s="44"/>
      <c r="O11" s="23" t="s">
        <v>26</v>
      </c>
      <c r="P11" s="23">
        <v>1188</v>
      </c>
    </row>
    <row r="12" spans="3:16" ht="21.6" thickTop="1" thickBot="1" x14ac:dyDescent="0.65">
      <c r="G12" s="9" t="s">
        <v>1</v>
      </c>
      <c r="H12" s="9" t="s">
        <v>3</v>
      </c>
      <c r="I12" s="9" t="s">
        <v>4</v>
      </c>
      <c r="J12" s="9" t="s">
        <v>6</v>
      </c>
      <c r="K12" s="9" t="s">
        <v>8</v>
      </c>
      <c r="L12" s="9" t="s">
        <v>9</v>
      </c>
      <c r="O12" s="23" t="s">
        <v>27</v>
      </c>
      <c r="P12" s="23">
        <v>1496</v>
      </c>
    </row>
    <row r="13" spans="3:16" ht="21.6" thickTop="1" thickBot="1" x14ac:dyDescent="0.65">
      <c r="E13" s="2" t="s">
        <v>46</v>
      </c>
      <c r="F13" s="4" t="s">
        <v>13</v>
      </c>
      <c r="G13" s="22" t="s">
        <v>2</v>
      </c>
      <c r="H13" s="10" t="s">
        <v>14</v>
      </c>
      <c r="I13" s="10" t="s">
        <v>5</v>
      </c>
      <c r="J13" s="10" t="s">
        <v>7</v>
      </c>
      <c r="K13" s="10" t="s">
        <v>44</v>
      </c>
      <c r="L13" s="12" t="s">
        <v>45</v>
      </c>
      <c r="M13" s="11" t="s">
        <v>10</v>
      </c>
      <c r="O13" s="23" t="s">
        <v>28</v>
      </c>
      <c r="P13" s="23" cm="1">
        <f t="array" ref="P13">_xlfn.IFS(P12-P11&gt;0,P12-P11,P12-P11&lt;=0,0)</f>
        <v>308</v>
      </c>
    </row>
    <row r="14" spans="3:16" ht="21.6" hidden="1" thickTop="1" thickBot="1" x14ac:dyDescent="0.65">
      <c r="E14" s="2" t="s">
        <v>30</v>
      </c>
      <c r="F14" s="6" t="s">
        <v>23</v>
      </c>
      <c r="G14" s="15">
        <v>2580</v>
      </c>
      <c r="H14" s="15">
        <v>2660</v>
      </c>
      <c r="I14" s="15">
        <v>3164</v>
      </c>
      <c r="J14" s="15">
        <v>3629</v>
      </c>
      <c r="K14" s="15">
        <v>2254</v>
      </c>
      <c r="L14" s="15">
        <v>3731</v>
      </c>
      <c r="M14" s="13">
        <f t="shared" ref="M14:M22" si="0">SUM(G14:L14)</f>
        <v>18018</v>
      </c>
    </row>
    <row r="15" spans="3:16" ht="21.6" hidden="1" thickTop="1" thickBot="1" x14ac:dyDescent="0.65">
      <c r="E15" s="2" t="s">
        <v>30</v>
      </c>
      <c r="F15" s="6" t="s">
        <v>0</v>
      </c>
      <c r="G15" s="15">
        <f t="shared" ref="G15:L15" si="1">((($M$20/$P$9)*$P$10)/$M$14)%*G14</f>
        <v>2211.4285714285711</v>
      </c>
      <c r="H15" s="15">
        <f t="shared" si="1"/>
        <v>2280</v>
      </c>
      <c r="I15" s="15">
        <f t="shared" si="1"/>
        <v>2712</v>
      </c>
      <c r="J15" s="15">
        <f t="shared" si="1"/>
        <v>3110.5714285714284</v>
      </c>
      <c r="K15" s="15">
        <f t="shared" si="1"/>
        <v>1932</v>
      </c>
      <c r="L15" s="15">
        <f t="shared" si="1"/>
        <v>3198</v>
      </c>
      <c r="M15" s="13">
        <f t="shared" si="0"/>
        <v>15444</v>
      </c>
    </row>
    <row r="16" spans="3:16" ht="21.6" hidden="1" thickTop="1" thickBot="1" x14ac:dyDescent="0.65">
      <c r="E16" s="2" t="s">
        <v>30</v>
      </c>
      <c r="F16" s="6" t="s">
        <v>19</v>
      </c>
      <c r="G16" s="15">
        <f t="shared" ref="G16:L16" si="2">((($M$21/140)*$P$10)/$M$15)%*G15</f>
        <v>1874.439882806269</v>
      </c>
      <c r="H16" s="15">
        <f t="shared" si="2"/>
        <v>1932.5620497149907</v>
      </c>
      <c r="I16" s="15">
        <f t="shared" si="2"/>
        <v>2298.7317012399362</v>
      </c>
      <c r="J16" s="15">
        <f t="shared" si="2"/>
        <v>2636.5667963968799</v>
      </c>
      <c r="K16" s="15">
        <f t="shared" si="2"/>
        <v>1637.5920526532291</v>
      </c>
      <c r="L16" s="15">
        <f t="shared" si="2"/>
        <v>2710.6725592055</v>
      </c>
      <c r="M16" s="13">
        <f t="shared" si="0"/>
        <v>13090.565042016806</v>
      </c>
      <c r="N16" s="3"/>
    </row>
    <row r="17" spans="5:13" ht="21.6" hidden="1" thickTop="1" thickBot="1" x14ac:dyDescent="0.65">
      <c r="E17" s="2" t="s">
        <v>30</v>
      </c>
      <c r="F17" s="6" t="s">
        <v>20</v>
      </c>
      <c r="G17" s="16">
        <f>G14-G16</f>
        <v>705.560117193731</v>
      </c>
      <c r="H17" s="16">
        <f t="shared" ref="H17:L17" si="3">H14-H16</f>
        <v>727.43795028500926</v>
      </c>
      <c r="I17" s="16">
        <f t="shared" si="3"/>
        <v>865.26829876006377</v>
      </c>
      <c r="J17" s="16">
        <f t="shared" si="3"/>
        <v>992.43320360312009</v>
      </c>
      <c r="K17" s="16">
        <f t="shared" si="3"/>
        <v>616.40794734677092</v>
      </c>
      <c r="L17" s="16">
        <f t="shared" si="3"/>
        <v>1020.3274407945</v>
      </c>
      <c r="M17" s="13">
        <f t="shared" si="0"/>
        <v>4927.4349579831951</v>
      </c>
    </row>
    <row r="18" spans="5:13" ht="21.6" hidden="1" thickTop="1" thickBot="1" x14ac:dyDescent="0.65">
      <c r="E18" s="2" t="s">
        <v>30</v>
      </c>
      <c r="F18" s="6" t="s">
        <v>29</v>
      </c>
      <c r="G18" s="17">
        <f>G15/11</f>
        <v>201.03896103896102</v>
      </c>
      <c r="H18" s="17">
        <f>H15/15</f>
        <v>152</v>
      </c>
      <c r="I18" s="17">
        <f>I15/17</f>
        <v>159.52941176470588</v>
      </c>
      <c r="J18" s="17">
        <f>J15/17</f>
        <v>182.97478991596637</v>
      </c>
      <c r="K18" s="17">
        <f>K15/12</f>
        <v>161</v>
      </c>
      <c r="L18" s="17">
        <f>L15/15</f>
        <v>213.2</v>
      </c>
      <c r="M18" s="13">
        <f t="shared" si="0"/>
        <v>1069.7431627196333</v>
      </c>
    </row>
    <row r="19" spans="5:13" ht="21.6" hidden="1" thickTop="1" thickBot="1" x14ac:dyDescent="0.65">
      <c r="E19" s="2" t="s">
        <v>30</v>
      </c>
      <c r="F19" s="6" t="s">
        <v>21</v>
      </c>
      <c r="G19" s="18">
        <f t="shared" ref="G19:L19" si="4">G18*$P$13</f>
        <v>61919.999999999993</v>
      </c>
      <c r="H19" s="18">
        <f t="shared" si="4"/>
        <v>46816</v>
      </c>
      <c r="I19" s="18">
        <f t="shared" si="4"/>
        <v>49135.058823529413</v>
      </c>
      <c r="J19" s="18">
        <f t="shared" si="4"/>
        <v>56356.235294117643</v>
      </c>
      <c r="K19" s="18">
        <f t="shared" si="4"/>
        <v>49588</v>
      </c>
      <c r="L19" s="18">
        <f t="shared" si="4"/>
        <v>65665.599999999991</v>
      </c>
      <c r="M19" s="13">
        <f t="shared" si="0"/>
        <v>329480.89411764703</v>
      </c>
    </row>
    <row r="20" spans="5:13" ht="21.6" hidden="1" thickTop="1" thickBot="1" x14ac:dyDescent="0.65">
      <c r="E20" s="2" t="s">
        <v>30</v>
      </c>
      <c r="F20" s="6" t="s">
        <v>17</v>
      </c>
      <c r="G20" s="18">
        <f>G14*120</f>
        <v>309600</v>
      </c>
      <c r="H20" s="18">
        <f t="shared" ref="H20:L20" si="5">H14*120</f>
        <v>319200</v>
      </c>
      <c r="I20" s="18">
        <f t="shared" si="5"/>
        <v>379680</v>
      </c>
      <c r="J20" s="18">
        <f t="shared" si="5"/>
        <v>435480</v>
      </c>
      <c r="K20" s="18">
        <f t="shared" si="5"/>
        <v>270480</v>
      </c>
      <c r="L20" s="18">
        <f t="shared" si="5"/>
        <v>447720</v>
      </c>
      <c r="M20" s="13">
        <f t="shared" si="0"/>
        <v>2162160</v>
      </c>
    </row>
    <row r="21" spans="5:13" ht="21.6" hidden="1" thickTop="1" thickBot="1" x14ac:dyDescent="0.65">
      <c r="E21" s="2" t="s">
        <v>30</v>
      </c>
      <c r="F21" s="6" t="s">
        <v>22</v>
      </c>
      <c r="G21" s="18">
        <f>G20-G19</f>
        <v>247680</v>
      </c>
      <c r="H21" s="18">
        <f t="shared" ref="H21:L21" si="6">H20-H19</f>
        <v>272384</v>
      </c>
      <c r="I21" s="18">
        <f t="shared" si="6"/>
        <v>330544.9411764706</v>
      </c>
      <c r="J21" s="18">
        <f t="shared" si="6"/>
        <v>379123.76470588235</v>
      </c>
      <c r="K21" s="18">
        <f t="shared" si="6"/>
        <v>220892</v>
      </c>
      <c r="L21" s="18">
        <f t="shared" si="6"/>
        <v>382054.40000000002</v>
      </c>
      <c r="M21" s="13">
        <f t="shared" si="0"/>
        <v>1832679.1058823531</v>
      </c>
    </row>
    <row r="22" spans="5:13" ht="21.6" hidden="1" thickTop="1" thickBot="1" x14ac:dyDescent="0.65">
      <c r="E22" s="2" t="s">
        <v>30</v>
      </c>
      <c r="F22" s="6" t="s">
        <v>18</v>
      </c>
      <c r="G22" s="18">
        <f>G21+G19</f>
        <v>309600</v>
      </c>
      <c r="H22" s="18">
        <f t="shared" ref="H22:L22" si="7">H21+H19</f>
        <v>319200</v>
      </c>
      <c r="I22" s="18">
        <f t="shared" si="7"/>
        <v>379680</v>
      </c>
      <c r="J22" s="18">
        <f t="shared" si="7"/>
        <v>435480</v>
      </c>
      <c r="K22" s="18">
        <f t="shared" si="7"/>
        <v>270480</v>
      </c>
      <c r="L22" s="18">
        <f t="shared" si="7"/>
        <v>447720</v>
      </c>
      <c r="M22" s="13">
        <f t="shared" si="0"/>
        <v>2162160</v>
      </c>
    </row>
    <row r="23" spans="5:13" ht="21.6" hidden="1" thickTop="1" thickBot="1" x14ac:dyDescent="0.65">
      <c r="E23" s="2" t="s">
        <v>30</v>
      </c>
      <c r="F23" s="6" t="s">
        <v>15</v>
      </c>
      <c r="G23" s="20">
        <v>239</v>
      </c>
      <c r="H23" s="20">
        <v>333</v>
      </c>
      <c r="I23" s="20">
        <v>414</v>
      </c>
      <c r="J23" s="20">
        <v>388</v>
      </c>
      <c r="K23" s="20">
        <v>448</v>
      </c>
      <c r="L23" s="20">
        <v>321</v>
      </c>
      <c r="M23" s="24">
        <f t="shared" ref="M23:M24" si="8">SUM(G23:L23)</f>
        <v>2143</v>
      </c>
    </row>
    <row r="24" spans="5:13" ht="21.6" hidden="1" thickTop="1" thickBot="1" x14ac:dyDescent="0.65">
      <c r="E24" s="2" t="s">
        <v>30</v>
      </c>
      <c r="F24" s="8" t="s">
        <v>16</v>
      </c>
      <c r="G24" s="21">
        <f>15*20</f>
        <v>300</v>
      </c>
      <c r="H24" s="21">
        <f t="shared" ref="H24:L24" si="9">15*20</f>
        <v>300</v>
      </c>
      <c r="I24" s="21">
        <f t="shared" si="9"/>
        <v>300</v>
      </c>
      <c r="J24" s="21">
        <f t="shared" si="9"/>
        <v>300</v>
      </c>
      <c r="K24" s="21">
        <f t="shared" si="9"/>
        <v>300</v>
      </c>
      <c r="L24" s="21">
        <f t="shared" si="9"/>
        <v>300</v>
      </c>
      <c r="M24" s="24">
        <f t="shared" si="8"/>
        <v>1800</v>
      </c>
    </row>
    <row r="25" spans="5:13" ht="21.6" hidden="1" thickTop="1" thickBot="1" x14ac:dyDescent="0.65">
      <c r="E25" s="2" t="s">
        <v>31</v>
      </c>
      <c r="F25" s="5" t="s">
        <v>41</v>
      </c>
      <c r="G25" s="14">
        <v>1550</v>
      </c>
      <c r="H25" s="14">
        <v>1862</v>
      </c>
      <c r="I25" s="14">
        <v>1399</v>
      </c>
      <c r="J25" s="14">
        <v>1718</v>
      </c>
      <c r="K25" s="14">
        <v>714</v>
      </c>
      <c r="L25" s="14">
        <v>690</v>
      </c>
      <c r="M25" s="13">
        <f t="shared" ref="M25:M33" si="10">SUM(G25:L25)</f>
        <v>7933</v>
      </c>
    </row>
    <row r="26" spans="5:13" ht="21.6" hidden="1" thickTop="1" thickBot="1" x14ac:dyDescent="0.65">
      <c r="E26" s="2" t="s">
        <v>31</v>
      </c>
      <c r="F26" s="6" t="s">
        <v>0</v>
      </c>
      <c r="G26" s="15">
        <f t="shared" ref="G26:L26" si="11">((($M$20/$P$9)*$P$10)/$M$14)%*G25</f>
        <v>1328.5714285714284</v>
      </c>
      <c r="H26" s="15">
        <f t="shared" si="11"/>
        <v>1596</v>
      </c>
      <c r="I26" s="15">
        <f t="shared" si="11"/>
        <v>1199.1428571428571</v>
      </c>
      <c r="J26" s="15">
        <f t="shared" si="11"/>
        <v>1472.5714285714284</v>
      </c>
      <c r="K26" s="15">
        <f t="shared" si="11"/>
        <v>612</v>
      </c>
      <c r="L26" s="15">
        <f t="shared" si="11"/>
        <v>591.42857142857144</v>
      </c>
      <c r="M26" s="13">
        <f t="shared" si="10"/>
        <v>6799.7142857142853</v>
      </c>
    </row>
    <row r="27" spans="5:13" ht="21.6" hidden="1" thickTop="1" thickBot="1" x14ac:dyDescent="0.65">
      <c r="E27" s="2" t="s">
        <v>31</v>
      </c>
      <c r="F27" s="6" t="s">
        <v>19</v>
      </c>
      <c r="G27" s="15">
        <f t="shared" ref="G27:L27" si="12">((($M$21/140)*$P$10)/$M$15)%*G26</f>
        <v>1126.1169838564795</v>
      </c>
      <c r="H27" s="15">
        <f t="shared" si="12"/>
        <v>1352.7934348004935</v>
      </c>
      <c r="I27" s="15">
        <f t="shared" si="12"/>
        <v>1016.4113938162676</v>
      </c>
      <c r="J27" s="15">
        <f t="shared" si="12"/>
        <v>1248.1735343647947</v>
      </c>
      <c r="K27" s="15">
        <f t="shared" si="12"/>
        <v>518.7403396603396</v>
      </c>
      <c r="L27" s="15">
        <f t="shared" si="12"/>
        <v>501.30368958772317</v>
      </c>
      <c r="M27" s="13">
        <f t="shared" si="10"/>
        <v>5763.5393760860979</v>
      </c>
    </row>
    <row r="28" spans="5:13" ht="21.6" hidden="1" thickTop="1" thickBot="1" x14ac:dyDescent="0.65">
      <c r="E28" s="2" t="s">
        <v>31</v>
      </c>
      <c r="F28" s="6" t="s">
        <v>20</v>
      </c>
      <c r="G28" s="16">
        <f>G25-G27</f>
        <v>423.88301614352054</v>
      </c>
      <c r="H28" s="16">
        <f t="shared" ref="H28" si="13">H25-H27</f>
        <v>509.20656519950649</v>
      </c>
      <c r="I28" s="16">
        <f t="shared" ref="I28" si="14">I25-I27</f>
        <v>382.5886061837324</v>
      </c>
      <c r="J28" s="16">
        <f t="shared" ref="J28" si="15">J25-J27</f>
        <v>469.8264656352053</v>
      </c>
      <c r="K28" s="16">
        <f t="shared" ref="K28" si="16">K25-K27</f>
        <v>195.2596603396604</v>
      </c>
      <c r="L28" s="16">
        <f t="shared" ref="L28" si="17">L25-L27</f>
        <v>188.69631041227683</v>
      </c>
      <c r="M28" s="13">
        <f t="shared" si="10"/>
        <v>2169.4606239139021</v>
      </c>
    </row>
    <row r="29" spans="5:13" ht="21.6" hidden="1" thickTop="1" thickBot="1" x14ac:dyDescent="0.65">
      <c r="E29" s="2" t="s">
        <v>31</v>
      </c>
      <c r="F29" s="6" t="s">
        <v>29</v>
      </c>
      <c r="G29" s="17">
        <f>G26/11</f>
        <v>120.77922077922076</v>
      </c>
      <c r="H29" s="17">
        <f>H26/15</f>
        <v>106.4</v>
      </c>
      <c r="I29" s="17">
        <f>I26/17</f>
        <v>70.537815126050418</v>
      </c>
      <c r="J29" s="17">
        <f>J26/17</f>
        <v>86.621848739495789</v>
      </c>
      <c r="K29" s="17">
        <f>K26/12</f>
        <v>51</v>
      </c>
      <c r="L29" s="17">
        <f>L26/15</f>
        <v>39.428571428571431</v>
      </c>
      <c r="M29" s="13">
        <f t="shared" si="10"/>
        <v>474.76745607333839</v>
      </c>
    </row>
    <row r="30" spans="5:13" ht="21.6" hidden="1" thickTop="1" thickBot="1" x14ac:dyDescent="0.65">
      <c r="E30" s="2" t="s">
        <v>31</v>
      </c>
      <c r="F30" s="6" t="s">
        <v>21</v>
      </c>
      <c r="G30" s="18">
        <f t="shared" ref="G30:L30" si="18">G29*$P$13</f>
        <v>37199.999999999993</v>
      </c>
      <c r="H30" s="18">
        <f t="shared" si="18"/>
        <v>32771.200000000004</v>
      </c>
      <c r="I30" s="18">
        <f t="shared" si="18"/>
        <v>21725.647058823528</v>
      </c>
      <c r="J30" s="18">
        <f t="shared" si="18"/>
        <v>26679.529411764703</v>
      </c>
      <c r="K30" s="18">
        <f t="shared" si="18"/>
        <v>15708</v>
      </c>
      <c r="L30" s="18">
        <f t="shared" si="18"/>
        <v>12144</v>
      </c>
      <c r="M30" s="13">
        <f t="shared" si="10"/>
        <v>146228.37647058821</v>
      </c>
    </row>
    <row r="31" spans="5:13" ht="21.6" hidden="1" thickTop="1" thickBot="1" x14ac:dyDescent="0.65">
      <c r="E31" s="2" t="s">
        <v>31</v>
      </c>
      <c r="F31" s="6" t="s">
        <v>17</v>
      </c>
      <c r="G31" s="18">
        <f>G25*120</f>
        <v>186000</v>
      </c>
      <c r="H31" s="18">
        <f t="shared" ref="H31:L31" si="19">H25*120</f>
        <v>223440</v>
      </c>
      <c r="I31" s="18">
        <f t="shared" si="19"/>
        <v>167880</v>
      </c>
      <c r="J31" s="18">
        <f t="shared" si="19"/>
        <v>206160</v>
      </c>
      <c r="K31" s="18">
        <f t="shared" si="19"/>
        <v>85680</v>
      </c>
      <c r="L31" s="18">
        <f t="shared" si="19"/>
        <v>82800</v>
      </c>
      <c r="M31" s="13">
        <f t="shared" si="10"/>
        <v>951960</v>
      </c>
    </row>
    <row r="32" spans="5:13" ht="21.6" hidden="1" thickTop="1" thickBot="1" x14ac:dyDescent="0.65">
      <c r="E32" s="2" t="s">
        <v>31</v>
      </c>
      <c r="F32" s="6" t="s">
        <v>22</v>
      </c>
      <c r="G32" s="18">
        <f>G31-G30</f>
        <v>148800</v>
      </c>
      <c r="H32" s="18">
        <f t="shared" ref="H32:L32" si="20">H31-H30</f>
        <v>190668.79999999999</v>
      </c>
      <c r="I32" s="18">
        <f t="shared" si="20"/>
        <v>146154.35294117648</v>
      </c>
      <c r="J32" s="18">
        <f t="shared" si="20"/>
        <v>179480.4705882353</v>
      </c>
      <c r="K32" s="18">
        <f t="shared" si="20"/>
        <v>69972</v>
      </c>
      <c r="L32" s="18">
        <f t="shared" si="20"/>
        <v>70656</v>
      </c>
      <c r="M32" s="13">
        <f t="shared" si="10"/>
        <v>805731.62352941174</v>
      </c>
    </row>
    <row r="33" spans="5:13" ht="21.6" hidden="1" thickTop="1" thickBot="1" x14ac:dyDescent="0.65">
      <c r="E33" s="2" t="s">
        <v>31</v>
      </c>
      <c r="F33" s="6" t="s">
        <v>18</v>
      </c>
      <c r="G33" s="18">
        <f>G32+G30</f>
        <v>186000</v>
      </c>
      <c r="H33" s="18">
        <f t="shared" ref="H33" si="21">H32+H30</f>
        <v>223440</v>
      </c>
      <c r="I33" s="18">
        <f t="shared" ref="I33" si="22">I32+I30</f>
        <v>167880</v>
      </c>
      <c r="J33" s="18">
        <f t="shared" ref="J33" si="23">J32+J30</f>
        <v>206160</v>
      </c>
      <c r="K33" s="18">
        <f t="shared" ref="K33" si="24">K32+K30</f>
        <v>85680</v>
      </c>
      <c r="L33" s="18">
        <f t="shared" ref="L33" si="25">L32+L30</f>
        <v>82800</v>
      </c>
      <c r="M33" s="13">
        <f t="shared" si="10"/>
        <v>951960</v>
      </c>
    </row>
    <row r="34" spans="5:13" ht="21.6" hidden="1" thickTop="1" thickBot="1" x14ac:dyDescent="0.65">
      <c r="E34" s="2" t="s">
        <v>31</v>
      </c>
      <c r="F34" s="6" t="s">
        <v>15</v>
      </c>
      <c r="G34" s="20">
        <v>244</v>
      </c>
      <c r="H34" s="20">
        <v>148</v>
      </c>
      <c r="I34" s="20">
        <v>115</v>
      </c>
      <c r="J34" s="20">
        <v>328</v>
      </c>
      <c r="K34" s="20">
        <v>254</v>
      </c>
      <c r="L34" s="20">
        <v>567</v>
      </c>
      <c r="M34" s="24">
        <f t="shared" ref="M34:M35" si="26">SUM(G34:L34)</f>
        <v>1656</v>
      </c>
    </row>
    <row r="35" spans="5:13" ht="21.6" hidden="1" thickTop="1" thickBot="1" x14ac:dyDescent="0.65">
      <c r="E35" s="2" t="s">
        <v>31</v>
      </c>
      <c r="F35" s="8" t="s">
        <v>16</v>
      </c>
      <c r="G35" s="21">
        <f>15*20</f>
        <v>300</v>
      </c>
      <c r="H35" s="21">
        <f t="shared" ref="H35:L35" si="27">15*20</f>
        <v>300</v>
      </c>
      <c r="I35" s="21">
        <f t="shared" si="27"/>
        <v>300</v>
      </c>
      <c r="J35" s="21">
        <f t="shared" si="27"/>
        <v>300</v>
      </c>
      <c r="K35" s="21">
        <f t="shared" si="27"/>
        <v>300</v>
      </c>
      <c r="L35" s="21">
        <f t="shared" si="27"/>
        <v>300</v>
      </c>
      <c r="M35" s="24">
        <f t="shared" si="26"/>
        <v>1800</v>
      </c>
    </row>
    <row r="36" spans="5:13" ht="21.6" hidden="1" thickTop="1" thickBot="1" x14ac:dyDescent="0.65">
      <c r="E36" s="2" t="s">
        <v>32</v>
      </c>
      <c r="F36" s="6" t="s">
        <v>42</v>
      </c>
      <c r="G36" s="15">
        <v>1000</v>
      </c>
      <c r="H36" s="15">
        <v>1786</v>
      </c>
      <c r="I36" s="15">
        <v>1793</v>
      </c>
      <c r="J36" s="15">
        <v>2988</v>
      </c>
      <c r="K36" s="15">
        <v>1289</v>
      </c>
      <c r="L36" s="15">
        <v>2835</v>
      </c>
      <c r="M36" s="13">
        <f>SUM(G36:L36)</f>
        <v>11691</v>
      </c>
    </row>
    <row r="37" spans="5:13" ht="21.6" hidden="1" thickTop="1" thickBot="1" x14ac:dyDescent="0.65">
      <c r="E37" s="2" t="s">
        <v>32</v>
      </c>
      <c r="F37" s="6" t="s">
        <v>0</v>
      </c>
      <c r="G37" s="15">
        <f t="shared" ref="G37:M37" si="28">((($M$20/$P$9)*$P$10)/$M$14)%*G36</f>
        <v>857.14285714285711</v>
      </c>
      <c r="H37" s="15">
        <f t="shared" si="28"/>
        <v>1530.8571428571427</v>
      </c>
      <c r="I37" s="15">
        <f t="shared" si="28"/>
        <v>1536.8571428571427</v>
      </c>
      <c r="J37" s="15">
        <f t="shared" si="28"/>
        <v>2561.1428571428569</v>
      </c>
      <c r="K37" s="15">
        <f t="shared" si="28"/>
        <v>1104.8571428571429</v>
      </c>
      <c r="L37" s="15">
        <f t="shared" si="28"/>
        <v>2430</v>
      </c>
      <c r="M37" s="13">
        <f t="shared" si="28"/>
        <v>10020.857142857143</v>
      </c>
    </row>
    <row r="38" spans="5:13" ht="21.6" hidden="1" thickTop="1" thickBot="1" x14ac:dyDescent="0.65">
      <c r="E38" s="2" t="s">
        <v>32</v>
      </c>
      <c r="F38" s="6" t="s">
        <v>19</v>
      </c>
      <c r="G38" s="15">
        <f t="shared" ref="G38:M38" si="29">((($M$21/140)*$P$10)/$M$15)%*G37</f>
        <v>726.52708635901899</v>
      </c>
      <c r="H38" s="15">
        <f t="shared" si="29"/>
        <v>1297.5773762372078</v>
      </c>
      <c r="I38" s="15">
        <f t="shared" si="29"/>
        <v>1302.6630658417209</v>
      </c>
      <c r="J38" s="15">
        <f t="shared" si="29"/>
        <v>2170.8629340407488</v>
      </c>
      <c r="K38" s="15">
        <f t="shared" si="29"/>
        <v>936.49341431677556</v>
      </c>
      <c r="L38" s="15">
        <f t="shared" si="29"/>
        <v>2059.7042898278191</v>
      </c>
      <c r="M38" s="13">
        <f t="shared" si="29"/>
        <v>8493.8281666232924</v>
      </c>
    </row>
    <row r="39" spans="5:13" ht="21.6" hidden="1" thickTop="1" thickBot="1" x14ac:dyDescent="0.65">
      <c r="E39" s="2" t="s">
        <v>32</v>
      </c>
      <c r="F39" s="6" t="s">
        <v>20</v>
      </c>
      <c r="G39" s="16">
        <f>G36-G38</f>
        <v>273.47291364098101</v>
      </c>
      <c r="H39" s="16">
        <f t="shared" ref="H39" si="30">H36-H38</f>
        <v>488.42262376279223</v>
      </c>
      <c r="I39" s="16">
        <f t="shared" ref="I39" si="31">I36-I38</f>
        <v>490.33693415827906</v>
      </c>
      <c r="J39" s="16">
        <f t="shared" ref="J39" si="32">J36-J38</f>
        <v>817.13706595925123</v>
      </c>
      <c r="K39" s="16">
        <f t="shared" ref="K39" si="33">K36-K38</f>
        <v>352.50658568322444</v>
      </c>
      <c r="L39" s="16">
        <f t="shared" ref="L39" si="34">L36-L38</f>
        <v>775.29571017218086</v>
      </c>
      <c r="M39" s="13">
        <f t="shared" ref="M39" si="35">M36-M38</f>
        <v>3197.1718333767076</v>
      </c>
    </row>
    <row r="40" spans="5:13" ht="21.6" hidden="1" thickTop="1" thickBot="1" x14ac:dyDescent="0.65">
      <c r="E40" s="2" t="s">
        <v>32</v>
      </c>
      <c r="F40" s="6" t="s">
        <v>29</v>
      </c>
      <c r="G40" s="17">
        <f>G37/11</f>
        <v>77.922077922077918</v>
      </c>
      <c r="H40" s="17">
        <f>H37/15</f>
        <v>102.05714285714285</v>
      </c>
      <c r="I40" s="17">
        <f>I37/17</f>
        <v>90.403361344537799</v>
      </c>
      <c r="J40" s="17">
        <f>J37/17</f>
        <v>150.65546218487393</v>
      </c>
      <c r="K40" s="17">
        <f>K37/12</f>
        <v>92.071428571428569</v>
      </c>
      <c r="L40" s="17">
        <f>L37/15</f>
        <v>162</v>
      </c>
      <c r="M40" s="13">
        <f>SUM(G40:L40)</f>
        <v>675.10947288006105</v>
      </c>
    </row>
    <row r="41" spans="5:13" ht="21.6" hidden="1" thickTop="1" thickBot="1" x14ac:dyDescent="0.65">
      <c r="E41" s="2" t="s">
        <v>32</v>
      </c>
      <c r="F41" s="6" t="s">
        <v>21</v>
      </c>
      <c r="G41" s="18">
        <f t="shared" ref="G41:L41" si="36">G40*$P$13</f>
        <v>24000</v>
      </c>
      <c r="H41" s="18">
        <f t="shared" si="36"/>
        <v>31433.599999999999</v>
      </c>
      <c r="I41" s="18">
        <f t="shared" si="36"/>
        <v>27844.235294117643</v>
      </c>
      <c r="J41" s="18">
        <f t="shared" si="36"/>
        <v>46401.882352941167</v>
      </c>
      <c r="K41" s="18">
        <f t="shared" si="36"/>
        <v>28358</v>
      </c>
      <c r="L41" s="18">
        <f t="shared" si="36"/>
        <v>49896</v>
      </c>
      <c r="M41" s="13">
        <f>SUM(G41:L41)</f>
        <v>207933.7176470588</v>
      </c>
    </row>
    <row r="42" spans="5:13" ht="21.6" hidden="1" thickTop="1" thickBot="1" x14ac:dyDescent="0.65">
      <c r="E42" s="2" t="s">
        <v>32</v>
      </c>
      <c r="F42" s="6" t="s">
        <v>17</v>
      </c>
      <c r="G42" s="18">
        <f>G36*120</f>
        <v>120000</v>
      </c>
      <c r="H42" s="18">
        <f t="shared" ref="H42:L42" si="37">H36*120</f>
        <v>214320</v>
      </c>
      <c r="I42" s="18">
        <f t="shared" si="37"/>
        <v>215160</v>
      </c>
      <c r="J42" s="18">
        <f t="shared" si="37"/>
        <v>358560</v>
      </c>
      <c r="K42" s="18">
        <f t="shared" si="37"/>
        <v>154680</v>
      </c>
      <c r="L42" s="18">
        <f t="shared" si="37"/>
        <v>340200</v>
      </c>
      <c r="M42" s="13">
        <f>SUM(G42:L42)</f>
        <v>1402920</v>
      </c>
    </row>
    <row r="43" spans="5:13" ht="21.6" hidden="1" thickTop="1" thickBot="1" x14ac:dyDescent="0.65">
      <c r="E43" s="2" t="s">
        <v>32</v>
      </c>
      <c r="F43" s="6" t="s">
        <v>22</v>
      </c>
      <c r="G43" s="18">
        <f>G42-G41</f>
        <v>96000</v>
      </c>
      <c r="H43" s="18">
        <f t="shared" ref="H43:L43" si="38">H42-H41</f>
        <v>182886.39999999999</v>
      </c>
      <c r="I43" s="18">
        <f t="shared" si="38"/>
        <v>187315.76470588235</v>
      </c>
      <c r="J43" s="18">
        <f t="shared" si="38"/>
        <v>312158.11764705885</v>
      </c>
      <c r="K43" s="18">
        <f t="shared" si="38"/>
        <v>126322</v>
      </c>
      <c r="L43" s="18">
        <f t="shared" si="38"/>
        <v>290304</v>
      </c>
      <c r="M43" s="13">
        <f>SUM(G43:L43)</f>
        <v>1194986.2823529411</v>
      </c>
    </row>
    <row r="44" spans="5:13" ht="21.6" hidden="1" thickTop="1" thickBot="1" x14ac:dyDescent="0.65">
      <c r="E44" s="2" t="s">
        <v>32</v>
      </c>
      <c r="F44" s="6" t="s">
        <v>18</v>
      </c>
      <c r="G44" s="18">
        <f>G43+G41</f>
        <v>120000</v>
      </c>
      <c r="H44" s="18">
        <f t="shared" ref="H44" si="39">H43+H41</f>
        <v>214320</v>
      </c>
      <c r="I44" s="18">
        <f t="shared" ref="I44" si="40">I43+I41</f>
        <v>215160</v>
      </c>
      <c r="J44" s="18">
        <f t="shared" ref="J44" si="41">J43+J41</f>
        <v>358560</v>
      </c>
      <c r="K44" s="18">
        <f t="shared" ref="K44" si="42">K43+K41</f>
        <v>154680</v>
      </c>
      <c r="L44" s="18">
        <f t="shared" ref="L44" si="43">L43+L41</f>
        <v>340200</v>
      </c>
      <c r="M44" s="13">
        <f>SUM(G44:L44)</f>
        <v>1402920</v>
      </c>
    </row>
    <row r="45" spans="5:13" ht="21.6" hidden="1" thickTop="1" thickBot="1" x14ac:dyDescent="0.65">
      <c r="E45" s="2" t="s">
        <v>32</v>
      </c>
      <c r="F45" s="6" t="s">
        <v>15</v>
      </c>
      <c r="G45" s="20">
        <v>519</v>
      </c>
      <c r="H45" s="20">
        <v>323</v>
      </c>
      <c r="I45" s="20">
        <v>486</v>
      </c>
      <c r="J45" s="20">
        <v>475</v>
      </c>
      <c r="K45" s="20">
        <v>593</v>
      </c>
      <c r="L45" s="20">
        <v>568</v>
      </c>
      <c r="M45" s="24">
        <f t="shared" ref="M45:M46" si="44">SUM(G45:L45)</f>
        <v>2964</v>
      </c>
    </row>
    <row r="46" spans="5:13" ht="21.6" hidden="1" thickTop="1" thickBot="1" x14ac:dyDescent="0.65">
      <c r="E46" s="2" t="s">
        <v>32</v>
      </c>
      <c r="F46" s="6" t="s">
        <v>16</v>
      </c>
      <c r="G46" s="20">
        <f>15*20</f>
        <v>300</v>
      </c>
      <c r="H46" s="20">
        <f t="shared" ref="H46:L46" si="45">15*20</f>
        <v>300</v>
      </c>
      <c r="I46" s="20">
        <f t="shared" si="45"/>
        <v>300</v>
      </c>
      <c r="J46" s="20">
        <f t="shared" si="45"/>
        <v>300</v>
      </c>
      <c r="K46" s="20">
        <f t="shared" si="45"/>
        <v>300</v>
      </c>
      <c r="L46" s="20">
        <f t="shared" si="45"/>
        <v>300</v>
      </c>
      <c r="M46" s="24">
        <f t="shared" si="44"/>
        <v>1800</v>
      </c>
    </row>
    <row r="47" spans="5:13" ht="21.6" hidden="1" thickTop="1" thickBot="1" x14ac:dyDescent="0.65">
      <c r="E47" s="2" t="s">
        <v>33</v>
      </c>
      <c r="F47" s="5" t="s">
        <v>47</v>
      </c>
      <c r="G47" s="14">
        <v>3018</v>
      </c>
      <c r="H47" s="14">
        <v>3020</v>
      </c>
      <c r="I47" s="14">
        <v>3310</v>
      </c>
      <c r="J47" s="14">
        <v>3439</v>
      </c>
      <c r="K47" s="14">
        <v>2183</v>
      </c>
      <c r="L47" s="14">
        <v>2541</v>
      </c>
      <c r="M47" s="13">
        <f t="shared" ref="M47:M55" si="46">SUM(G47:L47)</f>
        <v>17511</v>
      </c>
    </row>
    <row r="48" spans="5:13" ht="21.6" hidden="1" thickTop="1" thickBot="1" x14ac:dyDescent="0.65">
      <c r="E48" s="2" t="s">
        <v>33</v>
      </c>
      <c r="F48" s="6" t="s">
        <v>0</v>
      </c>
      <c r="G48" s="15">
        <f t="shared" ref="G48:L48" si="47">((($M$20/$P$9)*$P$10)/$M$14)%*G47</f>
        <v>2586.8571428571427</v>
      </c>
      <c r="H48" s="15">
        <f t="shared" si="47"/>
        <v>2588.5714285714284</v>
      </c>
      <c r="I48" s="15">
        <f t="shared" si="47"/>
        <v>2837.1428571428569</v>
      </c>
      <c r="J48" s="15">
        <f t="shared" si="47"/>
        <v>2947.7142857142853</v>
      </c>
      <c r="K48" s="15">
        <f t="shared" si="47"/>
        <v>1871.1428571428571</v>
      </c>
      <c r="L48" s="15">
        <f t="shared" si="47"/>
        <v>2178</v>
      </c>
      <c r="M48" s="13">
        <f t="shared" si="46"/>
        <v>15009.428571428571</v>
      </c>
    </row>
    <row r="49" spans="5:15" ht="21.6" hidden="1" thickTop="1" thickBot="1" x14ac:dyDescent="0.65">
      <c r="E49" s="2" t="s">
        <v>33</v>
      </c>
      <c r="F49" s="6" t="s">
        <v>19</v>
      </c>
      <c r="G49" s="15">
        <f t="shared" ref="G49:L49" si="48">((($M$21/140)*$P$10)/$M$15)%*G48</f>
        <v>2192.6587466315195</v>
      </c>
      <c r="H49" s="15">
        <f t="shared" si="48"/>
        <v>2194.1118008042376</v>
      </c>
      <c r="I49" s="15">
        <f t="shared" si="48"/>
        <v>2404.8046558483529</v>
      </c>
      <c r="J49" s="15">
        <f t="shared" si="48"/>
        <v>2498.5266499886661</v>
      </c>
      <c r="K49" s="15">
        <f t="shared" si="48"/>
        <v>1586.0086295217386</v>
      </c>
      <c r="L49" s="15">
        <f t="shared" si="48"/>
        <v>1846.1053264382674</v>
      </c>
      <c r="M49" s="13">
        <f t="shared" si="46"/>
        <v>12722.215809232783</v>
      </c>
      <c r="O49" s="2" t="s">
        <v>57</v>
      </c>
    </row>
    <row r="50" spans="5:15" ht="21.6" hidden="1" thickTop="1" thickBot="1" x14ac:dyDescent="0.65">
      <c r="E50" s="2" t="s">
        <v>33</v>
      </c>
      <c r="F50" s="6" t="s">
        <v>20</v>
      </c>
      <c r="G50" s="16">
        <f>G47-G49</f>
        <v>825.34125336848047</v>
      </c>
      <c r="H50" s="16">
        <f t="shared" ref="H50" si="49">H47-H49</f>
        <v>825.88819919576235</v>
      </c>
      <c r="I50" s="16">
        <f t="shared" ref="I50" si="50">I47-I49</f>
        <v>905.19534415164708</v>
      </c>
      <c r="J50" s="16">
        <f t="shared" ref="J50" si="51">J47-J49</f>
        <v>940.47335001133388</v>
      </c>
      <c r="K50" s="16">
        <f t="shared" ref="K50" si="52">K47-K49</f>
        <v>596.99137047826139</v>
      </c>
      <c r="L50" s="16">
        <f t="shared" ref="L50" si="53">L47-L49</f>
        <v>694.89467356173259</v>
      </c>
      <c r="M50" s="13">
        <f t="shared" si="46"/>
        <v>4788.7841907672182</v>
      </c>
    </row>
    <row r="51" spans="5:15" ht="21.6" hidden="1" thickTop="1" thickBot="1" x14ac:dyDescent="0.65">
      <c r="E51" s="2" t="s">
        <v>33</v>
      </c>
      <c r="F51" s="6" t="s">
        <v>29</v>
      </c>
      <c r="G51" s="17">
        <f>G48/11</f>
        <v>235.16883116883116</v>
      </c>
      <c r="H51" s="17">
        <f>H48/15</f>
        <v>172.57142857142856</v>
      </c>
      <c r="I51" s="17">
        <f>I48/17</f>
        <v>166.890756302521</v>
      </c>
      <c r="J51" s="17">
        <f>J48/17</f>
        <v>173.39495798319325</v>
      </c>
      <c r="K51" s="17">
        <f>K48/12</f>
        <v>155.92857142857142</v>
      </c>
      <c r="L51" s="17">
        <f>L48/15</f>
        <v>145.19999999999999</v>
      </c>
      <c r="M51" s="13">
        <f t="shared" si="46"/>
        <v>1049.1545454545453</v>
      </c>
    </row>
    <row r="52" spans="5:15" ht="21.6" hidden="1" thickTop="1" thickBot="1" x14ac:dyDescent="0.65">
      <c r="E52" s="2" t="s">
        <v>33</v>
      </c>
      <c r="F52" s="6" t="s">
        <v>21</v>
      </c>
      <c r="G52" s="18">
        <f t="shared" ref="G52:L52" si="54">G51*$P$13</f>
        <v>72432</v>
      </c>
      <c r="H52" s="18">
        <f t="shared" si="54"/>
        <v>53151.999999999993</v>
      </c>
      <c r="I52" s="18">
        <f t="shared" si="54"/>
        <v>51402.352941176468</v>
      </c>
      <c r="J52" s="18">
        <f t="shared" si="54"/>
        <v>53405.647058823524</v>
      </c>
      <c r="K52" s="18">
        <f t="shared" si="54"/>
        <v>48025.999999999993</v>
      </c>
      <c r="L52" s="18">
        <f t="shared" si="54"/>
        <v>44721.599999999999</v>
      </c>
      <c r="M52" s="13">
        <f t="shared" si="46"/>
        <v>323139.59999999998</v>
      </c>
    </row>
    <row r="53" spans="5:15" ht="21.6" hidden="1" thickTop="1" thickBot="1" x14ac:dyDescent="0.65">
      <c r="E53" s="2" t="s">
        <v>33</v>
      </c>
      <c r="F53" s="7" t="s">
        <v>17</v>
      </c>
      <c r="G53" s="19">
        <f>G47*120</f>
        <v>362160</v>
      </c>
      <c r="H53" s="19">
        <f t="shared" ref="H53:L53" si="55">H47*120</f>
        <v>362400</v>
      </c>
      <c r="I53" s="19">
        <f t="shared" si="55"/>
        <v>397200</v>
      </c>
      <c r="J53" s="19">
        <f t="shared" si="55"/>
        <v>412680</v>
      </c>
      <c r="K53" s="19">
        <f t="shared" si="55"/>
        <v>261960</v>
      </c>
      <c r="L53" s="19">
        <f t="shared" si="55"/>
        <v>304920</v>
      </c>
      <c r="M53" s="13">
        <f t="shared" si="46"/>
        <v>2101320</v>
      </c>
    </row>
    <row r="54" spans="5:15" ht="21.6" hidden="1" thickTop="1" thickBot="1" x14ac:dyDescent="0.65">
      <c r="E54" s="2" t="s">
        <v>33</v>
      </c>
      <c r="F54" s="6" t="s">
        <v>22</v>
      </c>
      <c r="G54" s="18">
        <f>G53-G52</f>
        <v>289728</v>
      </c>
      <c r="H54" s="18">
        <f t="shared" ref="H54:L54" si="56">H53-H52</f>
        <v>309248</v>
      </c>
      <c r="I54" s="18">
        <f t="shared" si="56"/>
        <v>345797.64705882355</v>
      </c>
      <c r="J54" s="18">
        <f t="shared" si="56"/>
        <v>359274.3529411765</v>
      </c>
      <c r="K54" s="18">
        <f t="shared" si="56"/>
        <v>213934</v>
      </c>
      <c r="L54" s="18">
        <f t="shared" si="56"/>
        <v>260198.39999999999</v>
      </c>
      <c r="M54" s="13">
        <f t="shared" si="46"/>
        <v>1778180.4</v>
      </c>
    </row>
    <row r="55" spans="5:15" ht="21.6" hidden="1" thickTop="1" thickBot="1" x14ac:dyDescent="0.65">
      <c r="E55" s="2" t="s">
        <v>33</v>
      </c>
      <c r="F55" s="7" t="s">
        <v>18</v>
      </c>
      <c r="G55" s="19">
        <f>G54+G52</f>
        <v>362160</v>
      </c>
      <c r="H55" s="19">
        <f t="shared" ref="H55" si="57">H54+H52</f>
        <v>362400</v>
      </c>
      <c r="I55" s="19">
        <f t="shared" ref="I55" si="58">I54+I52</f>
        <v>397200</v>
      </c>
      <c r="J55" s="19">
        <f t="shared" ref="J55" si="59">J54+J52</f>
        <v>412680</v>
      </c>
      <c r="K55" s="19">
        <f t="shared" ref="K55" si="60">K54+K52</f>
        <v>261960</v>
      </c>
      <c r="L55" s="19">
        <f t="shared" ref="L55" si="61">L54+L52</f>
        <v>304920</v>
      </c>
      <c r="M55" s="13">
        <f t="shared" si="46"/>
        <v>2101320</v>
      </c>
    </row>
    <row r="56" spans="5:15" ht="21.6" hidden="1" thickTop="1" thickBot="1" x14ac:dyDescent="0.65">
      <c r="E56" s="2" t="s">
        <v>33</v>
      </c>
      <c r="F56" s="6" t="s">
        <v>15</v>
      </c>
      <c r="G56" s="20">
        <v>485</v>
      </c>
      <c r="H56" s="20">
        <v>335</v>
      </c>
      <c r="I56" s="20">
        <v>506</v>
      </c>
      <c r="J56" s="20">
        <v>465</v>
      </c>
      <c r="K56" s="20">
        <v>542</v>
      </c>
      <c r="L56" s="20">
        <v>561</v>
      </c>
      <c r="M56" s="24">
        <f t="shared" ref="M56:M57" si="62">SUM(G56:L56)</f>
        <v>2894</v>
      </c>
    </row>
    <row r="57" spans="5:15" ht="21.6" hidden="1" thickTop="1" thickBot="1" x14ac:dyDescent="0.65">
      <c r="E57" s="2" t="s">
        <v>33</v>
      </c>
      <c r="F57" s="8" t="s">
        <v>16</v>
      </c>
      <c r="G57" s="21">
        <f>15*20</f>
        <v>300</v>
      </c>
      <c r="H57" s="21">
        <f t="shared" ref="H57:L57" si="63">15*20</f>
        <v>300</v>
      </c>
      <c r="I57" s="21">
        <f t="shared" si="63"/>
        <v>300</v>
      </c>
      <c r="J57" s="21">
        <f t="shared" si="63"/>
        <v>300</v>
      </c>
      <c r="K57" s="21">
        <f t="shared" si="63"/>
        <v>300</v>
      </c>
      <c r="L57" s="21">
        <f t="shared" si="63"/>
        <v>300</v>
      </c>
      <c r="M57" s="24">
        <f t="shared" si="62"/>
        <v>1800</v>
      </c>
    </row>
    <row r="58" spans="5:15" ht="21.6" hidden="1" thickTop="1" thickBot="1" x14ac:dyDescent="0.65">
      <c r="E58" s="2" t="s">
        <v>34</v>
      </c>
      <c r="F58" s="5" t="s">
        <v>49</v>
      </c>
      <c r="G58" s="14">
        <v>2680</v>
      </c>
      <c r="H58" s="14">
        <v>2163</v>
      </c>
      <c r="I58" s="14">
        <v>1889</v>
      </c>
      <c r="J58" s="14">
        <v>2639</v>
      </c>
      <c r="K58" s="14">
        <v>1964</v>
      </c>
      <c r="L58" s="14">
        <v>2620</v>
      </c>
      <c r="M58" s="13">
        <f>SUM(G58:L58)</f>
        <v>13955</v>
      </c>
    </row>
    <row r="59" spans="5:15" ht="21.6" hidden="1" thickTop="1" thickBot="1" x14ac:dyDescent="0.65">
      <c r="E59" s="2" t="s">
        <v>34</v>
      </c>
      <c r="F59" s="6" t="s">
        <v>0</v>
      </c>
      <c r="G59" s="15">
        <f t="shared" ref="G59:M59" si="64">((($M$20/$P$9)*$P$10)/$M$14)%*G58</f>
        <v>2297.1428571428569</v>
      </c>
      <c r="H59" s="15">
        <f t="shared" si="64"/>
        <v>1854</v>
      </c>
      <c r="I59" s="15">
        <f t="shared" si="64"/>
        <v>1619.1428571428571</v>
      </c>
      <c r="J59" s="15">
        <f t="shared" si="64"/>
        <v>2262</v>
      </c>
      <c r="K59" s="15">
        <f t="shared" si="64"/>
        <v>1683.4285714285713</v>
      </c>
      <c r="L59" s="15">
        <f t="shared" si="64"/>
        <v>2245.7142857142858</v>
      </c>
      <c r="M59" s="13">
        <f t="shared" si="64"/>
        <v>11961.428571428571</v>
      </c>
    </row>
    <row r="60" spans="5:15" ht="21.6" hidden="1" thickTop="1" thickBot="1" x14ac:dyDescent="0.65">
      <c r="E60" s="2" t="s">
        <v>34</v>
      </c>
      <c r="F60" s="6" t="s">
        <v>19</v>
      </c>
      <c r="G60" s="15">
        <f t="shared" ref="G60:M60" si="65">((($M$21/140)*$P$10)/$M$15)%*G59</f>
        <v>1947.0925914421709</v>
      </c>
      <c r="H60" s="15">
        <f t="shared" si="65"/>
        <v>1571.4780877945582</v>
      </c>
      <c r="I60" s="15">
        <f t="shared" si="65"/>
        <v>1372.4096661321869</v>
      </c>
      <c r="J60" s="15">
        <f t="shared" si="65"/>
        <v>1917.3049809014512</v>
      </c>
      <c r="K60" s="15">
        <f t="shared" si="65"/>
        <v>1426.8991976091133</v>
      </c>
      <c r="L60" s="15">
        <f t="shared" si="65"/>
        <v>1903.5009662606301</v>
      </c>
      <c r="M60" s="13">
        <f t="shared" si="65"/>
        <v>10138.685490140111</v>
      </c>
    </row>
    <row r="61" spans="5:15" ht="21.6" hidden="1" thickTop="1" thickBot="1" x14ac:dyDescent="0.65">
      <c r="E61" s="2" t="s">
        <v>34</v>
      </c>
      <c r="F61" s="6" t="s">
        <v>20</v>
      </c>
      <c r="G61" s="16">
        <f>G58-G60</f>
        <v>732.90740855782906</v>
      </c>
      <c r="H61" s="16">
        <f t="shared" ref="H61" si="66">H58-H60</f>
        <v>591.52191220544182</v>
      </c>
      <c r="I61" s="16">
        <f t="shared" ref="I61" si="67">I58-I60</f>
        <v>516.59033386781311</v>
      </c>
      <c r="J61" s="16">
        <f t="shared" ref="J61" si="68">J58-J60</f>
        <v>721.69501909854876</v>
      </c>
      <c r="K61" s="16">
        <f t="shared" ref="K61" si="69">K58-K60</f>
        <v>537.10080239088666</v>
      </c>
      <c r="L61" s="16">
        <f t="shared" ref="L61" si="70">L58-L60</f>
        <v>716.49903373936991</v>
      </c>
      <c r="M61" s="13">
        <f t="shared" ref="M61" si="71">M58-M60</f>
        <v>3816.3145098598889</v>
      </c>
    </row>
    <row r="62" spans="5:15" ht="21.6" hidden="1" thickTop="1" thickBot="1" x14ac:dyDescent="0.65">
      <c r="E62" s="2" t="s">
        <v>34</v>
      </c>
      <c r="F62" s="6" t="s">
        <v>29</v>
      </c>
      <c r="G62" s="17">
        <f>G59/11</f>
        <v>208.83116883116881</v>
      </c>
      <c r="H62" s="17">
        <f>H59/15</f>
        <v>123.6</v>
      </c>
      <c r="I62" s="17">
        <f>I59/17</f>
        <v>95.243697478991592</v>
      </c>
      <c r="J62" s="17">
        <f>J59/17</f>
        <v>133.05882352941177</v>
      </c>
      <c r="K62" s="17">
        <f>K59/12</f>
        <v>140.28571428571428</v>
      </c>
      <c r="L62" s="17">
        <f>L59/15</f>
        <v>149.71428571428572</v>
      </c>
      <c r="M62" s="13">
        <f>SUM(G62:L62)</f>
        <v>850.73368983957221</v>
      </c>
    </row>
    <row r="63" spans="5:15" ht="21.6" hidden="1" thickTop="1" thickBot="1" x14ac:dyDescent="0.65">
      <c r="E63" s="2" t="s">
        <v>34</v>
      </c>
      <c r="F63" s="6" t="s">
        <v>21</v>
      </c>
      <c r="G63" s="18">
        <f t="shared" ref="G63:L63" si="72">G62*$P$13</f>
        <v>64319.999999999993</v>
      </c>
      <c r="H63" s="18">
        <f t="shared" si="72"/>
        <v>38068.799999999996</v>
      </c>
      <c r="I63" s="18">
        <f t="shared" si="72"/>
        <v>29335.058823529409</v>
      </c>
      <c r="J63" s="18">
        <f t="shared" si="72"/>
        <v>40982.117647058825</v>
      </c>
      <c r="K63" s="18">
        <f t="shared" si="72"/>
        <v>43208</v>
      </c>
      <c r="L63" s="18">
        <f t="shared" si="72"/>
        <v>46112</v>
      </c>
      <c r="M63" s="13">
        <f>SUM(G63:L63)</f>
        <v>262025.97647058821</v>
      </c>
    </row>
    <row r="64" spans="5:15" ht="21.6" hidden="1" thickTop="1" thickBot="1" x14ac:dyDescent="0.65">
      <c r="E64" s="2" t="s">
        <v>34</v>
      </c>
      <c r="F64" s="6" t="s">
        <v>17</v>
      </c>
      <c r="G64" s="18">
        <f>G58*120</f>
        <v>321600</v>
      </c>
      <c r="H64" s="18">
        <f t="shared" ref="H64:L64" si="73">H58*120</f>
        <v>259560</v>
      </c>
      <c r="I64" s="18">
        <f t="shared" si="73"/>
        <v>226680</v>
      </c>
      <c r="J64" s="18">
        <f t="shared" si="73"/>
        <v>316680</v>
      </c>
      <c r="K64" s="18">
        <f t="shared" si="73"/>
        <v>235680</v>
      </c>
      <c r="L64" s="18">
        <f t="shared" si="73"/>
        <v>314400</v>
      </c>
      <c r="M64" s="13">
        <f>SUM(G64:L64)</f>
        <v>1674600</v>
      </c>
    </row>
    <row r="65" spans="5:13" ht="21.6" hidden="1" thickTop="1" thickBot="1" x14ac:dyDescent="0.65">
      <c r="E65" s="2" t="s">
        <v>34</v>
      </c>
      <c r="F65" s="6" t="s">
        <v>22</v>
      </c>
      <c r="G65" s="18">
        <f>G64-G63</f>
        <v>257280</v>
      </c>
      <c r="H65" s="18">
        <f t="shared" ref="H65:L65" si="74">H64-H63</f>
        <v>221491.20000000001</v>
      </c>
      <c r="I65" s="18">
        <f t="shared" si="74"/>
        <v>197344.9411764706</v>
      </c>
      <c r="J65" s="18">
        <f t="shared" si="74"/>
        <v>275697.8823529412</v>
      </c>
      <c r="K65" s="18">
        <f t="shared" si="74"/>
        <v>192472</v>
      </c>
      <c r="L65" s="18">
        <f t="shared" si="74"/>
        <v>268288</v>
      </c>
      <c r="M65" s="13">
        <f>SUM(G65:L65)</f>
        <v>1412574.0235294118</v>
      </c>
    </row>
    <row r="66" spans="5:13" ht="21.6" hidden="1" thickTop="1" thickBot="1" x14ac:dyDescent="0.65">
      <c r="E66" s="2" t="s">
        <v>34</v>
      </c>
      <c r="F66" s="6" t="s">
        <v>18</v>
      </c>
      <c r="G66" s="18">
        <f>G65+G63</f>
        <v>321600</v>
      </c>
      <c r="H66" s="18">
        <f t="shared" ref="H66" si="75">H65+H63</f>
        <v>259560</v>
      </c>
      <c r="I66" s="18">
        <f t="shared" ref="I66" si="76">I65+I63</f>
        <v>226680</v>
      </c>
      <c r="J66" s="18">
        <f t="shared" ref="J66" si="77">J65+J63</f>
        <v>316680</v>
      </c>
      <c r="K66" s="18">
        <f t="shared" ref="K66" si="78">K65+K63</f>
        <v>235680</v>
      </c>
      <c r="L66" s="18">
        <f t="shared" ref="L66" si="79">L65+L63</f>
        <v>314400</v>
      </c>
      <c r="M66" s="13">
        <f>SUM(G66:L66)</f>
        <v>1674600</v>
      </c>
    </row>
    <row r="67" spans="5:13" ht="21.6" hidden="1" thickTop="1" thickBot="1" x14ac:dyDescent="0.65">
      <c r="E67" s="2" t="s">
        <v>34</v>
      </c>
      <c r="F67" s="6" t="s">
        <v>15</v>
      </c>
      <c r="G67" s="20">
        <v>496</v>
      </c>
      <c r="H67" s="20">
        <v>315</v>
      </c>
      <c r="I67" s="20">
        <v>485</v>
      </c>
      <c r="J67" s="20">
        <v>451</v>
      </c>
      <c r="K67" s="20">
        <v>514</v>
      </c>
      <c r="L67" s="20">
        <v>515</v>
      </c>
      <c r="M67" s="24">
        <f t="shared" ref="M67:M68" si="80">SUM(G67:L67)</f>
        <v>2776</v>
      </c>
    </row>
    <row r="68" spans="5:13" ht="21.6" hidden="1" thickTop="1" thickBot="1" x14ac:dyDescent="0.65">
      <c r="E68" s="2" t="s">
        <v>34</v>
      </c>
      <c r="F68" s="8" t="s">
        <v>16</v>
      </c>
      <c r="G68" s="21">
        <f>15*20</f>
        <v>300</v>
      </c>
      <c r="H68" s="21">
        <f t="shared" ref="H68:L68" si="81">15*20</f>
        <v>300</v>
      </c>
      <c r="I68" s="21">
        <f t="shared" si="81"/>
        <v>300</v>
      </c>
      <c r="J68" s="21">
        <f t="shared" si="81"/>
        <v>300</v>
      </c>
      <c r="K68" s="21">
        <f t="shared" si="81"/>
        <v>300</v>
      </c>
      <c r="L68" s="21">
        <f t="shared" si="81"/>
        <v>300</v>
      </c>
      <c r="M68" s="24">
        <f t="shared" si="80"/>
        <v>1800</v>
      </c>
    </row>
    <row r="69" spans="5:13" ht="21.6" hidden="1" thickTop="1" thickBot="1" x14ac:dyDescent="0.65">
      <c r="E69" s="2" t="s">
        <v>35</v>
      </c>
      <c r="F69" s="5" t="s">
        <v>50</v>
      </c>
      <c r="G69" s="14">
        <v>2443</v>
      </c>
      <c r="H69" s="14">
        <v>3228</v>
      </c>
      <c r="I69" s="14">
        <v>3732</v>
      </c>
      <c r="J69" s="14">
        <v>3362</v>
      </c>
      <c r="K69" s="14">
        <v>2366</v>
      </c>
      <c r="L69" s="14">
        <v>2476</v>
      </c>
      <c r="M69" s="13">
        <f>SUM(G69:L69)</f>
        <v>17607</v>
      </c>
    </row>
    <row r="70" spans="5:13" ht="21.6" hidden="1" thickTop="1" thickBot="1" x14ac:dyDescent="0.65">
      <c r="E70" s="2" t="s">
        <v>35</v>
      </c>
      <c r="F70" s="6" t="s">
        <v>0</v>
      </c>
      <c r="G70" s="15">
        <f t="shared" ref="G70:M70" si="82">((($M$20/$P$9)*$P$10)/$M$14)%*G69</f>
        <v>2094</v>
      </c>
      <c r="H70" s="15">
        <f t="shared" si="82"/>
        <v>2766.8571428571427</v>
      </c>
      <c r="I70" s="15">
        <f t="shared" si="82"/>
        <v>3198.8571428571427</v>
      </c>
      <c r="J70" s="15">
        <f t="shared" si="82"/>
        <v>2881.7142857142858</v>
      </c>
      <c r="K70" s="15">
        <f t="shared" si="82"/>
        <v>2028</v>
      </c>
      <c r="L70" s="15">
        <f t="shared" si="82"/>
        <v>2122.2857142857142</v>
      </c>
      <c r="M70" s="13">
        <f t="shared" si="82"/>
        <v>15091.714285714284</v>
      </c>
    </row>
    <row r="71" spans="5:13" ht="21.6" hidden="1" thickTop="1" thickBot="1" x14ac:dyDescent="0.65">
      <c r="E71" s="2" t="s">
        <v>35</v>
      </c>
      <c r="F71" s="6" t="s">
        <v>19</v>
      </c>
      <c r="G71" s="15">
        <f t="shared" ref="G71:M71" si="83">((($M$21/140)*$P$10)/$M$15)%*G70</f>
        <v>1774.9056719750836</v>
      </c>
      <c r="H71" s="15">
        <f t="shared" si="83"/>
        <v>2345.2294347669135</v>
      </c>
      <c r="I71" s="15">
        <f t="shared" si="83"/>
        <v>2711.399086291859</v>
      </c>
      <c r="J71" s="15">
        <f t="shared" si="83"/>
        <v>2442.584064339022</v>
      </c>
      <c r="K71" s="15">
        <f t="shared" si="83"/>
        <v>1718.963086325439</v>
      </c>
      <c r="L71" s="15">
        <f t="shared" si="83"/>
        <v>1798.8810658249311</v>
      </c>
      <c r="M71" s="13">
        <f t="shared" si="83"/>
        <v>12791.962409523248</v>
      </c>
    </row>
    <row r="72" spans="5:13" ht="21.6" hidden="1" thickTop="1" thickBot="1" x14ac:dyDescent="0.65">
      <c r="E72" s="2" t="s">
        <v>35</v>
      </c>
      <c r="F72" s="6" t="s">
        <v>20</v>
      </c>
      <c r="G72" s="16">
        <f>G69-G71</f>
        <v>668.09432802491642</v>
      </c>
      <c r="H72" s="16">
        <f t="shared" ref="H72" si="84">H69-H71</f>
        <v>882.77056523308647</v>
      </c>
      <c r="I72" s="16">
        <f t="shared" ref="I72" si="85">I69-I71</f>
        <v>1020.600913708141</v>
      </c>
      <c r="J72" s="16">
        <f t="shared" ref="J72" si="86">J69-J71</f>
        <v>919.41593566097799</v>
      </c>
      <c r="K72" s="16">
        <f t="shared" ref="K72" si="87">K69-K71</f>
        <v>647.03691367456099</v>
      </c>
      <c r="L72" s="16">
        <f t="shared" ref="L72" si="88">L69-L71</f>
        <v>677.11893417506894</v>
      </c>
      <c r="M72" s="13">
        <f t="shared" ref="M72" si="89">M69-M71</f>
        <v>4815.0375904767516</v>
      </c>
    </row>
    <row r="73" spans="5:13" ht="21.6" hidden="1" thickTop="1" thickBot="1" x14ac:dyDescent="0.65">
      <c r="E73" s="2" t="s">
        <v>35</v>
      </c>
      <c r="F73" s="6" t="s">
        <v>29</v>
      </c>
      <c r="G73" s="17">
        <f>G70/11</f>
        <v>190.36363636363637</v>
      </c>
      <c r="H73" s="17">
        <f>H70/15</f>
        <v>184.45714285714286</v>
      </c>
      <c r="I73" s="17">
        <f>I70/17</f>
        <v>188.16806722689074</v>
      </c>
      <c r="J73" s="17">
        <f>J70/17</f>
        <v>169.51260504201682</v>
      </c>
      <c r="K73" s="17">
        <f>K70/12</f>
        <v>169</v>
      </c>
      <c r="L73" s="17">
        <f>L70/15</f>
        <v>141.48571428571429</v>
      </c>
      <c r="M73" s="13">
        <f>SUM(G73:L73)</f>
        <v>1042.9871657754011</v>
      </c>
    </row>
    <row r="74" spans="5:13" ht="21.6" hidden="1" thickTop="1" thickBot="1" x14ac:dyDescent="0.65">
      <c r="E74" s="2" t="s">
        <v>35</v>
      </c>
      <c r="F74" s="6" t="s">
        <v>21</v>
      </c>
      <c r="G74" s="18">
        <f t="shared" ref="G74:L74" si="90">G73*$P$13</f>
        <v>58632</v>
      </c>
      <c r="H74" s="18">
        <f t="shared" si="90"/>
        <v>56812.800000000003</v>
      </c>
      <c r="I74" s="18">
        <f t="shared" si="90"/>
        <v>57955.76470588235</v>
      </c>
      <c r="J74" s="18">
        <f t="shared" si="90"/>
        <v>52209.882352941182</v>
      </c>
      <c r="K74" s="18">
        <f t="shared" si="90"/>
        <v>52052</v>
      </c>
      <c r="L74" s="18">
        <f t="shared" si="90"/>
        <v>43577.600000000006</v>
      </c>
      <c r="M74" s="13">
        <f>SUM(G74:L74)</f>
        <v>321240.04705882352</v>
      </c>
    </row>
    <row r="75" spans="5:13" ht="21.6" hidden="1" thickTop="1" thickBot="1" x14ac:dyDescent="0.65">
      <c r="E75" s="2" t="s">
        <v>35</v>
      </c>
      <c r="F75" s="6" t="s">
        <v>17</v>
      </c>
      <c r="G75" s="18">
        <f>G69*120</f>
        <v>293160</v>
      </c>
      <c r="H75" s="18">
        <f t="shared" ref="H75:L75" si="91">H69*120</f>
        <v>387360</v>
      </c>
      <c r="I75" s="18">
        <f t="shared" si="91"/>
        <v>447840</v>
      </c>
      <c r="J75" s="18">
        <f t="shared" si="91"/>
        <v>403440</v>
      </c>
      <c r="K75" s="18">
        <f t="shared" si="91"/>
        <v>283920</v>
      </c>
      <c r="L75" s="18">
        <f t="shared" si="91"/>
        <v>297120</v>
      </c>
      <c r="M75" s="13">
        <f>SUM(G75:L75)</f>
        <v>2112840</v>
      </c>
    </row>
    <row r="76" spans="5:13" ht="21.6" hidden="1" thickTop="1" thickBot="1" x14ac:dyDescent="0.65">
      <c r="E76" s="2" t="s">
        <v>35</v>
      </c>
      <c r="F76" s="6" t="s">
        <v>22</v>
      </c>
      <c r="G76" s="18">
        <f>G75-G74</f>
        <v>234528</v>
      </c>
      <c r="H76" s="18">
        <f t="shared" ref="H76:L76" si="92">H75-H74</f>
        <v>330547.20000000001</v>
      </c>
      <c r="I76" s="18">
        <f t="shared" si="92"/>
        <v>389884.23529411765</v>
      </c>
      <c r="J76" s="18">
        <f t="shared" si="92"/>
        <v>351230.1176470588</v>
      </c>
      <c r="K76" s="18">
        <f t="shared" si="92"/>
        <v>231868</v>
      </c>
      <c r="L76" s="18">
        <f t="shared" si="92"/>
        <v>253542.39999999999</v>
      </c>
      <c r="M76" s="13">
        <f>SUM(G76:L76)</f>
        <v>1791599.9529411762</v>
      </c>
    </row>
    <row r="77" spans="5:13" ht="21.6" hidden="1" thickTop="1" thickBot="1" x14ac:dyDescent="0.65">
      <c r="E77" s="2" t="s">
        <v>35</v>
      </c>
      <c r="F77" s="6" t="s">
        <v>18</v>
      </c>
      <c r="G77" s="18">
        <f>G76+G74</f>
        <v>293160</v>
      </c>
      <c r="H77" s="18">
        <f t="shared" ref="H77" si="93">H76+H74</f>
        <v>387360</v>
      </c>
      <c r="I77" s="18">
        <f t="shared" ref="I77" si="94">I76+I74</f>
        <v>447840</v>
      </c>
      <c r="J77" s="18">
        <f t="shared" ref="J77" si="95">J76+J74</f>
        <v>403440</v>
      </c>
      <c r="K77" s="18">
        <f t="shared" ref="K77" si="96">K76+K74</f>
        <v>283920</v>
      </c>
      <c r="L77" s="18">
        <f t="shared" ref="L77" si="97">L76+L74</f>
        <v>297120</v>
      </c>
      <c r="M77" s="13">
        <f>SUM(G77:L77)</f>
        <v>2112840</v>
      </c>
    </row>
    <row r="78" spans="5:13" ht="21.6" hidden="1" thickTop="1" thickBot="1" x14ac:dyDescent="0.65">
      <c r="E78" s="2" t="s">
        <v>35</v>
      </c>
      <c r="F78" s="6" t="s">
        <v>15</v>
      </c>
      <c r="G78" s="20">
        <v>474</v>
      </c>
      <c r="H78" s="20">
        <v>308</v>
      </c>
      <c r="I78" s="20">
        <v>463</v>
      </c>
      <c r="J78" s="20">
        <v>437</v>
      </c>
      <c r="K78" s="20">
        <v>505</v>
      </c>
      <c r="L78" s="20">
        <v>562</v>
      </c>
      <c r="M78" s="24">
        <f t="shared" ref="M78:M79" si="98">SUM(G78:L78)</f>
        <v>2749</v>
      </c>
    </row>
    <row r="79" spans="5:13" ht="21.6" hidden="1" thickTop="1" thickBot="1" x14ac:dyDescent="0.65">
      <c r="E79" s="2" t="s">
        <v>35</v>
      </c>
      <c r="F79" s="8" t="s">
        <v>16</v>
      </c>
      <c r="G79" s="21">
        <f>15*20</f>
        <v>300</v>
      </c>
      <c r="H79" s="21">
        <f t="shared" ref="H79:L79" si="99">15*20</f>
        <v>300</v>
      </c>
      <c r="I79" s="21">
        <f t="shared" si="99"/>
        <v>300</v>
      </c>
      <c r="J79" s="21">
        <f t="shared" si="99"/>
        <v>300</v>
      </c>
      <c r="K79" s="21">
        <f t="shared" si="99"/>
        <v>300</v>
      </c>
      <c r="L79" s="21">
        <f t="shared" si="99"/>
        <v>300</v>
      </c>
      <c r="M79" s="24">
        <f t="shared" si="98"/>
        <v>1800</v>
      </c>
    </row>
    <row r="80" spans="5:13" ht="21.6" thickTop="1" thickBot="1" x14ac:dyDescent="0.65">
      <c r="E80" s="2" t="s">
        <v>36</v>
      </c>
      <c r="F80" s="5" t="s">
        <v>51</v>
      </c>
      <c r="G80" s="14">
        <v>3040</v>
      </c>
      <c r="H80" s="14">
        <v>2498</v>
      </c>
      <c r="I80" s="14">
        <v>1706</v>
      </c>
      <c r="J80" s="14">
        <v>3227</v>
      </c>
      <c r="K80" s="14">
        <v>1523</v>
      </c>
      <c r="L80" s="14">
        <v>3103</v>
      </c>
      <c r="M80" s="13">
        <f>SUM(G80:L80)</f>
        <v>15097</v>
      </c>
    </row>
    <row r="81" spans="5:13" ht="21.6" thickTop="1" thickBot="1" x14ac:dyDescent="0.65">
      <c r="E81" s="2" t="s">
        <v>36</v>
      </c>
      <c r="F81" s="6" t="s">
        <v>0</v>
      </c>
      <c r="G81" s="15">
        <f t="shared" ref="G81:M81" si="100">((($M$20/$P$9)*$P$10)/$M$14)%*G80</f>
        <v>2605.7142857142858</v>
      </c>
      <c r="H81" s="15">
        <f t="shared" si="100"/>
        <v>2141.1428571428569</v>
      </c>
      <c r="I81" s="15">
        <f t="shared" si="100"/>
        <v>1462.2857142857142</v>
      </c>
      <c r="J81" s="15">
        <f t="shared" si="100"/>
        <v>2766</v>
      </c>
      <c r="K81" s="15">
        <f t="shared" si="100"/>
        <v>1305.4285714285713</v>
      </c>
      <c r="L81" s="15">
        <f t="shared" si="100"/>
        <v>2659.7142857142858</v>
      </c>
      <c r="M81" s="13">
        <f t="shared" si="100"/>
        <v>12940.285714285714</v>
      </c>
    </row>
    <row r="82" spans="5:13" ht="21.6" thickTop="1" thickBot="1" x14ac:dyDescent="0.65">
      <c r="E82" s="2" t="s">
        <v>36</v>
      </c>
      <c r="F82" s="6" t="s">
        <v>19</v>
      </c>
      <c r="G82" s="15">
        <f t="shared" ref="G82:M82" si="101">((($M$21/140)*$P$10)/$M$15)%*G81</f>
        <v>2208.6423425314179</v>
      </c>
      <c r="H82" s="15">
        <f t="shared" si="101"/>
        <v>1814.8646617248294</v>
      </c>
      <c r="I82" s="15">
        <f t="shared" si="101"/>
        <v>1239.4552093284865</v>
      </c>
      <c r="J82" s="15">
        <f t="shared" si="101"/>
        <v>2344.5029076805545</v>
      </c>
      <c r="K82" s="15">
        <f t="shared" si="101"/>
        <v>1106.5007525247859</v>
      </c>
      <c r="L82" s="15">
        <f t="shared" si="101"/>
        <v>2254.4135489720361</v>
      </c>
      <c r="M82" s="13">
        <f t="shared" si="101"/>
        <v>10968.379422762111</v>
      </c>
    </row>
    <row r="83" spans="5:13" ht="21.6" thickTop="1" thickBot="1" x14ac:dyDescent="0.65">
      <c r="E83" s="2" t="s">
        <v>36</v>
      </c>
      <c r="F83" s="6" t="s">
        <v>20</v>
      </c>
      <c r="G83" s="16">
        <f>G80-G82</f>
        <v>831.35765746858215</v>
      </c>
      <c r="H83" s="16">
        <f t="shared" ref="H83" si="102">H80-H82</f>
        <v>683.13533827517062</v>
      </c>
      <c r="I83" s="16">
        <f t="shared" ref="I83" si="103">I80-I82</f>
        <v>466.54479067151351</v>
      </c>
      <c r="J83" s="16">
        <f t="shared" ref="J83" si="104">J80-J82</f>
        <v>882.49709231944553</v>
      </c>
      <c r="K83" s="16">
        <f t="shared" ref="K83" si="105">K80-K82</f>
        <v>416.49924747521413</v>
      </c>
      <c r="L83" s="16">
        <f t="shared" ref="L83" si="106">L80-L82</f>
        <v>848.5864510279639</v>
      </c>
      <c r="M83" s="13">
        <f t="shared" ref="M83" si="107">M80-M82</f>
        <v>4128.6205772378889</v>
      </c>
    </row>
    <row r="84" spans="5:13" ht="21.6" thickTop="1" thickBot="1" x14ac:dyDescent="0.65">
      <c r="E84" s="2" t="s">
        <v>36</v>
      </c>
      <c r="F84" s="6" t="s">
        <v>29</v>
      </c>
      <c r="G84" s="17">
        <f>G81/11</f>
        <v>236.88311688311688</v>
      </c>
      <c r="H84" s="17">
        <f>H81/15</f>
        <v>142.74285714285713</v>
      </c>
      <c r="I84" s="17">
        <f>I81/17</f>
        <v>86.016806722689068</v>
      </c>
      <c r="J84" s="17">
        <f>J81/17</f>
        <v>162.70588235294119</v>
      </c>
      <c r="K84" s="17">
        <f>K81/12</f>
        <v>108.78571428571428</v>
      </c>
      <c r="L84" s="17">
        <f>L81/15</f>
        <v>177.31428571428572</v>
      </c>
      <c r="M84" s="13">
        <f>SUM(G84:L84)</f>
        <v>914.44866310160432</v>
      </c>
    </row>
    <row r="85" spans="5:13" ht="21.6" thickTop="1" thickBot="1" x14ac:dyDescent="0.65">
      <c r="E85" s="2" t="s">
        <v>36</v>
      </c>
      <c r="F85" s="6" t="s">
        <v>21</v>
      </c>
      <c r="G85" s="18">
        <f t="shared" ref="G85:L85" si="108">G84*$P$13</f>
        <v>72960</v>
      </c>
      <c r="H85" s="18">
        <f t="shared" si="108"/>
        <v>43964.799999999996</v>
      </c>
      <c r="I85" s="18">
        <f t="shared" si="108"/>
        <v>26493.176470588234</v>
      </c>
      <c r="J85" s="18">
        <f t="shared" si="108"/>
        <v>50113.411764705888</v>
      </c>
      <c r="K85" s="18">
        <f t="shared" si="108"/>
        <v>33506</v>
      </c>
      <c r="L85" s="18">
        <f t="shared" si="108"/>
        <v>54612.800000000003</v>
      </c>
      <c r="M85" s="13">
        <f>SUM(G85:L85)</f>
        <v>281650.18823529407</v>
      </c>
    </row>
    <row r="86" spans="5:13" ht="21.6" thickTop="1" thickBot="1" x14ac:dyDescent="0.65">
      <c r="E86" s="2" t="s">
        <v>36</v>
      </c>
      <c r="F86" s="6" t="s">
        <v>17</v>
      </c>
      <c r="G86" s="18">
        <f>G80*120</f>
        <v>364800</v>
      </c>
      <c r="H86" s="18">
        <f t="shared" ref="H86:L86" si="109">H80*120</f>
        <v>299760</v>
      </c>
      <c r="I86" s="18">
        <f t="shared" si="109"/>
        <v>204720</v>
      </c>
      <c r="J86" s="18">
        <f t="shared" si="109"/>
        <v>387240</v>
      </c>
      <c r="K86" s="18">
        <f t="shared" si="109"/>
        <v>182760</v>
      </c>
      <c r="L86" s="18">
        <f t="shared" si="109"/>
        <v>372360</v>
      </c>
      <c r="M86" s="13">
        <f>SUM(G86:L86)</f>
        <v>1811640</v>
      </c>
    </row>
    <row r="87" spans="5:13" ht="21.6" thickTop="1" thickBot="1" x14ac:dyDescent="0.65">
      <c r="E87" s="2" t="s">
        <v>36</v>
      </c>
      <c r="F87" s="6" t="s">
        <v>22</v>
      </c>
      <c r="G87" s="18">
        <f>G86-G85</f>
        <v>291840</v>
      </c>
      <c r="H87" s="18">
        <f t="shared" ref="H87:L87" si="110">H86-H85</f>
        <v>255795.20000000001</v>
      </c>
      <c r="I87" s="18">
        <f t="shared" si="110"/>
        <v>178226.82352941178</v>
      </c>
      <c r="J87" s="18">
        <f t="shared" si="110"/>
        <v>337126.5882352941</v>
      </c>
      <c r="K87" s="18">
        <f t="shared" si="110"/>
        <v>149254</v>
      </c>
      <c r="L87" s="18">
        <f t="shared" si="110"/>
        <v>317747.20000000001</v>
      </c>
      <c r="M87" s="13">
        <f>SUM(G87:L87)</f>
        <v>1529989.8117647057</v>
      </c>
    </row>
    <row r="88" spans="5:13" ht="21.6" thickTop="1" thickBot="1" x14ac:dyDescent="0.65">
      <c r="E88" s="2" t="s">
        <v>36</v>
      </c>
      <c r="F88" s="6" t="s">
        <v>18</v>
      </c>
      <c r="G88" s="18">
        <f>G87+G85</f>
        <v>364800</v>
      </c>
      <c r="H88" s="18">
        <f t="shared" ref="H88" si="111">H87+H85</f>
        <v>299760</v>
      </c>
      <c r="I88" s="18">
        <f t="shared" ref="I88" si="112">I87+I85</f>
        <v>204720</v>
      </c>
      <c r="J88" s="18">
        <f t="shared" ref="J88" si="113">J87+J85</f>
        <v>387240</v>
      </c>
      <c r="K88" s="18">
        <f t="shared" ref="K88" si="114">K87+K85</f>
        <v>182760</v>
      </c>
      <c r="L88" s="18">
        <f t="shared" ref="L88" si="115">L87+L85</f>
        <v>372360</v>
      </c>
      <c r="M88" s="13">
        <f>SUM(G88:L88)</f>
        <v>1811640</v>
      </c>
    </row>
    <row r="89" spans="5:13" ht="21.6" thickTop="1" thickBot="1" x14ac:dyDescent="0.65">
      <c r="E89" s="2" t="s">
        <v>36</v>
      </c>
      <c r="F89" s="6" t="s">
        <v>15</v>
      </c>
      <c r="G89" s="20">
        <v>539</v>
      </c>
      <c r="H89" s="20">
        <v>329</v>
      </c>
      <c r="I89" s="20">
        <v>531</v>
      </c>
      <c r="J89" s="20">
        <v>465</v>
      </c>
      <c r="K89" s="20">
        <v>586</v>
      </c>
      <c r="L89" s="20">
        <v>509</v>
      </c>
      <c r="M89" s="24">
        <f t="shared" ref="M89:M90" si="116">SUM(G89:L89)</f>
        <v>2959</v>
      </c>
    </row>
    <row r="90" spans="5:13" ht="21.6" thickTop="1" thickBot="1" x14ac:dyDescent="0.65">
      <c r="E90" s="2" t="s">
        <v>36</v>
      </c>
      <c r="F90" s="8" t="s">
        <v>16</v>
      </c>
      <c r="G90" s="21">
        <f>15*20</f>
        <v>300</v>
      </c>
      <c r="H90" s="21">
        <f t="shared" ref="H90:L90" si="117">15*20</f>
        <v>300</v>
      </c>
      <c r="I90" s="21">
        <f t="shared" si="117"/>
        <v>300</v>
      </c>
      <c r="J90" s="21">
        <f t="shared" si="117"/>
        <v>300</v>
      </c>
      <c r="K90" s="21">
        <f t="shared" si="117"/>
        <v>300</v>
      </c>
      <c r="L90" s="21">
        <f t="shared" si="117"/>
        <v>300</v>
      </c>
      <c r="M90" s="24">
        <f t="shared" si="116"/>
        <v>1800</v>
      </c>
    </row>
    <row r="91" spans="5:13" ht="21" hidden="1" thickTop="1" x14ac:dyDescent="0.6">
      <c r="E91" s="2" t="s">
        <v>37</v>
      </c>
      <c r="F91" s="5" t="s">
        <v>52</v>
      </c>
      <c r="G91" s="14">
        <v>1923</v>
      </c>
      <c r="H91" s="14">
        <v>2718</v>
      </c>
      <c r="I91" s="14">
        <v>3031</v>
      </c>
      <c r="J91" s="14">
        <v>2686</v>
      </c>
      <c r="K91" s="14">
        <v>1773</v>
      </c>
      <c r="L91" s="14">
        <v>998</v>
      </c>
      <c r="M91" s="13">
        <f>SUM(G91:L91)</f>
        <v>13129</v>
      </c>
    </row>
    <row r="92" spans="5:13" ht="21" hidden="1" thickTop="1" x14ac:dyDescent="0.6">
      <c r="E92" s="2" t="s">
        <v>37</v>
      </c>
      <c r="F92" s="6" t="s">
        <v>0</v>
      </c>
      <c r="G92" s="15">
        <f t="shared" ref="G92:M92" si="118">((($M$20/$P$9)*$P$10)/$M$14)%*G91</f>
        <v>1648.2857142857142</v>
      </c>
      <c r="H92" s="15">
        <f t="shared" si="118"/>
        <v>2329.7142857142858</v>
      </c>
      <c r="I92" s="15">
        <f t="shared" si="118"/>
        <v>2598</v>
      </c>
      <c r="J92" s="15">
        <f t="shared" si="118"/>
        <v>2302.2857142857142</v>
      </c>
      <c r="K92" s="15">
        <f t="shared" si="118"/>
        <v>1519.7142857142856</v>
      </c>
      <c r="L92" s="15">
        <f t="shared" si="118"/>
        <v>855.42857142857133</v>
      </c>
      <c r="M92" s="13">
        <f t="shared" si="118"/>
        <v>11253.428571428571</v>
      </c>
    </row>
    <row r="93" spans="5:13" ht="21" hidden="1" thickTop="1" x14ac:dyDescent="0.6">
      <c r="E93" s="2" t="s">
        <v>37</v>
      </c>
      <c r="F93" s="6" t="s">
        <v>19</v>
      </c>
      <c r="G93" s="15">
        <f t="shared" ref="G93:M93" si="119">((($M$21/140)*$P$10)/$M$15)%*G92</f>
        <v>1397.1115870683936</v>
      </c>
      <c r="H93" s="15">
        <f t="shared" si="119"/>
        <v>1974.7006207238139</v>
      </c>
      <c r="I93" s="15">
        <f t="shared" si="119"/>
        <v>2202.1035987541868</v>
      </c>
      <c r="J93" s="15">
        <f t="shared" si="119"/>
        <v>1951.451753960325</v>
      </c>
      <c r="K93" s="15">
        <f t="shared" si="119"/>
        <v>1288.1325241145407</v>
      </c>
      <c r="L93" s="15">
        <f t="shared" si="119"/>
        <v>725.074032186301</v>
      </c>
      <c r="M93" s="13">
        <f t="shared" si="119"/>
        <v>9538.5741168075601</v>
      </c>
    </row>
    <row r="94" spans="5:13" ht="21" hidden="1" thickTop="1" x14ac:dyDescent="0.6">
      <c r="E94" s="2" t="s">
        <v>37</v>
      </c>
      <c r="F94" s="6" t="s">
        <v>20</v>
      </c>
      <c r="G94" s="16">
        <f>G91-G93</f>
        <v>525.88841293160635</v>
      </c>
      <c r="H94" s="16">
        <f t="shared" ref="H94" si="120">H91-H93</f>
        <v>743.29937927618607</v>
      </c>
      <c r="I94" s="16">
        <f t="shared" ref="I94" si="121">I91-I93</f>
        <v>828.89640124581319</v>
      </c>
      <c r="J94" s="16">
        <f t="shared" ref="J94" si="122">J91-J93</f>
        <v>734.54824603967495</v>
      </c>
      <c r="K94" s="16">
        <f t="shared" ref="K94" si="123">K91-K93</f>
        <v>484.86747588545927</v>
      </c>
      <c r="L94" s="16">
        <f t="shared" ref="L94" si="124">L91-L93</f>
        <v>272.925967813699</v>
      </c>
      <c r="M94" s="13">
        <f t="shared" ref="M94" si="125">M91-M93</f>
        <v>3590.4258831924399</v>
      </c>
    </row>
    <row r="95" spans="5:13" ht="21" hidden="1" thickTop="1" x14ac:dyDescent="0.6">
      <c r="E95" s="2" t="s">
        <v>37</v>
      </c>
      <c r="F95" s="6" t="s">
        <v>29</v>
      </c>
      <c r="G95" s="17">
        <f>G92/11</f>
        <v>149.84415584415584</v>
      </c>
      <c r="H95" s="17">
        <f>H92/15</f>
        <v>155.31428571428572</v>
      </c>
      <c r="I95" s="17">
        <f>I92/17</f>
        <v>152.8235294117647</v>
      </c>
      <c r="J95" s="17">
        <f>J92/17</f>
        <v>135.42857142857142</v>
      </c>
      <c r="K95" s="17">
        <f>K92/12</f>
        <v>126.64285714285712</v>
      </c>
      <c r="L95" s="17">
        <f>L92/15</f>
        <v>57.028571428571425</v>
      </c>
      <c r="M95" s="13">
        <f>SUM(G95:L95)</f>
        <v>777.08197097020627</v>
      </c>
    </row>
    <row r="96" spans="5:13" ht="21" hidden="1" thickTop="1" x14ac:dyDescent="0.6">
      <c r="E96" s="2" t="s">
        <v>37</v>
      </c>
      <c r="F96" s="6" t="s">
        <v>21</v>
      </c>
      <c r="G96" s="18">
        <f t="shared" ref="G96:L96" si="126">G95*$P$13</f>
        <v>46152</v>
      </c>
      <c r="H96" s="18">
        <f t="shared" si="126"/>
        <v>47836.800000000003</v>
      </c>
      <c r="I96" s="18">
        <f t="shared" si="126"/>
        <v>47069.647058823524</v>
      </c>
      <c r="J96" s="18">
        <f t="shared" si="126"/>
        <v>41711.999999999993</v>
      </c>
      <c r="K96" s="18">
        <f t="shared" si="126"/>
        <v>39005.999999999993</v>
      </c>
      <c r="L96" s="18">
        <f t="shared" si="126"/>
        <v>17564.8</v>
      </c>
      <c r="M96" s="13">
        <f>SUM(G96:L96)</f>
        <v>239341.24705882353</v>
      </c>
    </row>
    <row r="97" spans="5:13" ht="21" hidden="1" thickTop="1" x14ac:dyDescent="0.6">
      <c r="E97" s="2" t="s">
        <v>37</v>
      </c>
      <c r="F97" s="6" t="s">
        <v>17</v>
      </c>
      <c r="G97" s="18">
        <f>G91*120</f>
        <v>230760</v>
      </c>
      <c r="H97" s="18">
        <f t="shared" ref="H97:L97" si="127">H91*120</f>
        <v>326160</v>
      </c>
      <c r="I97" s="18">
        <f t="shared" si="127"/>
        <v>363720</v>
      </c>
      <c r="J97" s="18">
        <f t="shared" si="127"/>
        <v>322320</v>
      </c>
      <c r="K97" s="18">
        <f t="shared" si="127"/>
        <v>212760</v>
      </c>
      <c r="L97" s="18">
        <f t="shared" si="127"/>
        <v>119760</v>
      </c>
      <c r="M97" s="13">
        <f>SUM(G97:L97)</f>
        <v>1575480</v>
      </c>
    </row>
    <row r="98" spans="5:13" ht="21" hidden="1" thickTop="1" x14ac:dyDescent="0.6">
      <c r="E98" s="2" t="s">
        <v>37</v>
      </c>
      <c r="F98" s="6" t="s">
        <v>22</v>
      </c>
      <c r="G98" s="18">
        <f>G97-G96</f>
        <v>184608</v>
      </c>
      <c r="H98" s="18">
        <f t="shared" ref="H98:L98" si="128">H97-H96</f>
        <v>278323.20000000001</v>
      </c>
      <c r="I98" s="18">
        <f t="shared" si="128"/>
        <v>316650.3529411765</v>
      </c>
      <c r="J98" s="18">
        <f t="shared" si="128"/>
        <v>280608</v>
      </c>
      <c r="K98" s="18">
        <f t="shared" si="128"/>
        <v>173754</v>
      </c>
      <c r="L98" s="18">
        <f t="shared" si="128"/>
        <v>102195.2</v>
      </c>
      <c r="M98" s="13">
        <f>SUM(G98:L98)</f>
        <v>1336138.7529411765</v>
      </c>
    </row>
    <row r="99" spans="5:13" ht="21" hidden="1" thickTop="1" x14ac:dyDescent="0.6">
      <c r="E99" s="2" t="s">
        <v>37</v>
      </c>
      <c r="F99" s="6" t="s">
        <v>18</v>
      </c>
      <c r="G99" s="18">
        <f>G98+G96</f>
        <v>230760</v>
      </c>
      <c r="H99" s="18">
        <f t="shared" ref="H99" si="129">H98+H96</f>
        <v>326160</v>
      </c>
      <c r="I99" s="18">
        <f t="shared" ref="I99" si="130">I98+I96</f>
        <v>363720</v>
      </c>
      <c r="J99" s="18">
        <f t="shared" ref="J99" si="131">J98+J96</f>
        <v>322320</v>
      </c>
      <c r="K99" s="18">
        <f t="shared" ref="K99" si="132">K98+K96</f>
        <v>212760</v>
      </c>
      <c r="L99" s="18">
        <f t="shared" ref="L99" si="133">L98+L96</f>
        <v>119760</v>
      </c>
      <c r="M99" s="13">
        <f>SUM(G99:L99)</f>
        <v>1575480</v>
      </c>
    </row>
    <row r="100" spans="5:13" ht="21" hidden="1" thickTop="1" x14ac:dyDescent="0.6">
      <c r="E100" s="2" t="s">
        <v>37</v>
      </c>
      <c r="F100" s="6" t="s">
        <v>15</v>
      </c>
      <c r="G100" s="20">
        <v>411</v>
      </c>
      <c r="H100" s="20">
        <v>240</v>
      </c>
      <c r="I100" s="20">
        <v>368</v>
      </c>
      <c r="J100" s="20">
        <v>357</v>
      </c>
      <c r="K100" s="20">
        <v>407</v>
      </c>
      <c r="L100" s="20">
        <v>342</v>
      </c>
      <c r="M100" s="24">
        <f t="shared" ref="M100:M101" si="134">SUM(G100:L100)</f>
        <v>2125</v>
      </c>
    </row>
    <row r="101" spans="5:13" ht="21.6" hidden="1" thickTop="1" thickBot="1" x14ac:dyDescent="0.65">
      <c r="E101" s="2" t="s">
        <v>37</v>
      </c>
      <c r="F101" s="8" t="s">
        <v>16</v>
      </c>
      <c r="G101" s="21">
        <f>15*20</f>
        <v>300</v>
      </c>
      <c r="H101" s="21">
        <f t="shared" ref="H101:L101" si="135">15*20</f>
        <v>300</v>
      </c>
      <c r="I101" s="21">
        <f t="shared" si="135"/>
        <v>300</v>
      </c>
      <c r="J101" s="21">
        <f t="shared" si="135"/>
        <v>300</v>
      </c>
      <c r="K101" s="21">
        <f t="shared" si="135"/>
        <v>300</v>
      </c>
      <c r="L101" s="21">
        <f t="shared" si="135"/>
        <v>300</v>
      </c>
      <c r="M101" s="24">
        <f t="shared" si="134"/>
        <v>1800</v>
      </c>
    </row>
    <row r="102" spans="5:13" ht="21" hidden="1" thickTop="1" x14ac:dyDescent="0.6">
      <c r="E102" s="2" t="s">
        <v>38</v>
      </c>
      <c r="F102" s="5" t="s">
        <v>53</v>
      </c>
      <c r="G102" s="14">
        <v>2005</v>
      </c>
      <c r="H102" s="14">
        <v>1988</v>
      </c>
      <c r="I102" s="14">
        <v>1748</v>
      </c>
      <c r="J102" s="14">
        <v>2832</v>
      </c>
      <c r="K102" s="14">
        <v>1772</v>
      </c>
      <c r="L102" s="14">
        <v>1330</v>
      </c>
      <c r="M102" s="13">
        <f>SUM(G102:L102)</f>
        <v>11675</v>
      </c>
    </row>
    <row r="103" spans="5:13" ht="21" hidden="1" thickTop="1" x14ac:dyDescent="0.6">
      <c r="E103" s="2" t="s">
        <v>38</v>
      </c>
      <c r="F103" s="6" t="s">
        <v>0</v>
      </c>
      <c r="G103" s="15">
        <f t="shared" ref="G103:M103" si="136">((($M$20/$P$9)*$P$10)/$M$14)%*G102</f>
        <v>1718.5714285714284</v>
      </c>
      <c r="H103" s="15">
        <f t="shared" si="136"/>
        <v>1704</v>
      </c>
      <c r="I103" s="15">
        <f t="shared" si="136"/>
        <v>1498.2857142857142</v>
      </c>
      <c r="J103" s="15">
        <f t="shared" si="136"/>
        <v>2427.4285714285711</v>
      </c>
      <c r="K103" s="15">
        <f t="shared" si="136"/>
        <v>1518.8571428571427</v>
      </c>
      <c r="L103" s="15">
        <f t="shared" si="136"/>
        <v>1140</v>
      </c>
      <c r="M103" s="13">
        <f t="shared" si="136"/>
        <v>10007.142857142857</v>
      </c>
    </row>
    <row r="104" spans="5:13" ht="21" hidden="1" thickTop="1" x14ac:dyDescent="0.6">
      <c r="E104" s="2" t="s">
        <v>38</v>
      </c>
      <c r="F104" s="6" t="s">
        <v>19</v>
      </c>
      <c r="G104" s="15">
        <f t="shared" ref="G104:M104" si="137">((($M$21/140)*$P$10)/$M$15)%*G103</f>
        <v>1456.686808149833</v>
      </c>
      <c r="H104" s="15">
        <f t="shared" si="137"/>
        <v>1444.33584768173</v>
      </c>
      <c r="I104" s="15">
        <f t="shared" si="137"/>
        <v>1269.9693469555652</v>
      </c>
      <c r="J104" s="15">
        <f t="shared" si="137"/>
        <v>2057.5247085687415</v>
      </c>
      <c r="K104" s="15">
        <f t="shared" si="137"/>
        <v>1287.4059970281817</v>
      </c>
      <c r="L104" s="15">
        <f t="shared" si="137"/>
        <v>966.28102485749537</v>
      </c>
      <c r="M104" s="13">
        <f t="shared" si="137"/>
        <v>8482.2037332415475</v>
      </c>
    </row>
    <row r="105" spans="5:13" ht="21" hidden="1" thickTop="1" x14ac:dyDescent="0.6">
      <c r="E105" s="2" t="s">
        <v>38</v>
      </c>
      <c r="F105" s="6" t="s">
        <v>20</v>
      </c>
      <c r="G105" s="16">
        <f>G102-G104</f>
        <v>548.31319185016696</v>
      </c>
      <c r="H105" s="16">
        <f t="shared" ref="H105" si="138">H102-H104</f>
        <v>543.66415231827</v>
      </c>
      <c r="I105" s="16">
        <f t="shared" ref="I105" si="139">I102-I104</f>
        <v>478.03065304443476</v>
      </c>
      <c r="J105" s="16">
        <f t="shared" ref="J105" si="140">J102-J104</f>
        <v>774.47529143125848</v>
      </c>
      <c r="K105" s="16">
        <f t="shared" ref="K105" si="141">K102-K104</f>
        <v>484.59400297181833</v>
      </c>
      <c r="L105" s="16">
        <f t="shared" ref="L105" si="142">L102-L104</f>
        <v>363.71897514250463</v>
      </c>
      <c r="M105" s="13">
        <f t="shared" ref="M105" si="143">M102-M104</f>
        <v>3192.7962667584525</v>
      </c>
    </row>
    <row r="106" spans="5:13" ht="21" hidden="1" thickTop="1" x14ac:dyDescent="0.6">
      <c r="E106" s="2" t="s">
        <v>38</v>
      </c>
      <c r="F106" s="6" t="s">
        <v>29</v>
      </c>
      <c r="G106" s="17">
        <f>G103/11</f>
        <v>156.23376623376623</v>
      </c>
      <c r="H106" s="17">
        <f>H103/15</f>
        <v>113.6</v>
      </c>
      <c r="I106" s="17">
        <f>I103/17</f>
        <v>88.134453781512605</v>
      </c>
      <c r="J106" s="17">
        <f>J103/17</f>
        <v>142.78991596638653</v>
      </c>
      <c r="K106" s="17">
        <f>K103/12</f>
        <v>126.57142857142856</v>
      </c>
      <c r="L106" s="17">
        <f>L103/15</f>
        <v>76</v>
      </c>
      <c r="M106" s="13">
        <f>SUM(G106:L106)</f>
        <v>703.32956455309397</v>
      </c>
    </row>
    <row r="107" spans="5:13" ht="21" hidden="1" thickTop="1" x14ac:dyDescent="0.6">
      <c r="E107" s="2" t="s">
        <v>38</v>
      </c>
      <c r="F107" s="6" t="s">
        <v>21</v>
      </c>
      <c r="G107" s="18">
        <f t="shared" ref="G107:L107" si="144">G106*$P$13</f>
        <v>48120</v>
      </c>
      <c r="H107" s="18">
        <f t="shared" si="144"/>
        <v>34988.799999999996</v>
      </c>
      <c r="I107" s="18">
        <f t="shared" si="144"/>
        <v>27145.411764705881</v>
      </c>
      <c r="J107" s="18">
        <f t="shared" si="144"/>
        <v>43979.294117647049</v>
      </c>
      <c r="K107" s="18">
        <f t="shared" si="144"/>
        <v>38983.999999999993</v>
      </c>
      <c r="L107" s="18">
        <f t="shared" si="144"/>
        <v>23408</v>
      </c>
      <c r="M107" s="13">
        <f>SUM(G107:L107)</f>
        <v>216625.50588235291</v>
      </c>
    </row>
    <row r="108" spans="5:13" ht="21" hidden="1" thickTop="1" x14ac:dyDescent="0.6">
      <c r="E108" s="2" t="s">
        <v>38</v>
      </c>
      <c r="F108" s="6" t="s">
        <v>17</v>
      </c>
      <c r="G108" s="18">
        <f>G102*120</f>
        <v>240600</v>
      </c>
      <c r="H108" s="18">
        <f t="shared" ref="H108:L108" si="145">H102*120</f>
        <v>238560</v>
      </c>
      <c r="I108" s="18">
        <f t="shared" si="145"/>
        <v>209760</v>
      </c>
      <c r="J108" s="18">
        <f t="shared" si="145"/>
        <v>339840</v>
      </c>
      <c r="K108" s="18">
        <f t="shared" si="145"/>
        <v>212640</v>
      </c>
      <c r="L108" s="18">
        <f t="shared" si="145"/>
        <v>159600</v>
      </c>
      <c r="M108" s="13">
        <f>SUM(G108:L108)</f>
        <v>1401000</v>
      </c>
    </row>
    <row r="109" spans="5:13" ht="21" hidden="1" thickTop="1" x14ac:dyDescent="0.6">
      <c r="E109" s="2" t="s">
        <v>38</v>
      </c>
      <c r="F109" s="6" t="s">
        <v>22</v>
      </c>
      <c r="G109" s="18">
        <f>G108-G107</f>
        <v>192480</v>
      </c>
      <c r="H109" s="18">
        <f t="shared" ref="H109:L109" si="146">H108-H107</f>
        <v>203571.20000000001</v>
      </c>
      <c r="I109" s="18">
        <f t="shared" si="146"/>
        <v>182614.58823529413</v>
      </c>
      <c r="J109" s="18">
        <f t="shared" si="146"/>
        <v>295860.70588235295</v>
      </c>
      <c r="K109" s="18">
        <f t="shared" si="146"/>
        <v>173656</v>
      </c>
      <c r="L109" s="18">
        <f t="shared" si="146"/>
        <v>136192</v>
      </c>
      <c r="M109" s="13">
        <f>SUM(G109:L109)</f>
        <v>1184374.4941176472</v>
      </c>
    </row>
    <row r="110" spans="5:13" ht="21" hidden="1" thickTop="1" x14ac:dyDescent="0.6">
      <c r="E110" s="2" t="s">
        <v>38</v>
      </c>
      <c r="F110" s="6" t="s">
        <v>18</v>
      </c>
      <c r="G110" s="18">
        <f>G109+G107</f>
        <v>240600</v>
      </c>
      <c r="H110" s="18">
        <f t="shared" ref="H110" si="147">H109+H107</f>
        <v>238560</v>
      </c>
      <c r="I110" s="18">
        <f t="shared" ref="I110" si="148">I109+I107</f>
        <v>209760</v>
      </c>
      <c r="J110" s="18">
        <f t="shared" ref="J110" si="149">J109+J107</f>
        <v>339840</v>
      </c>
      <c r="K110" s="18">
        <f t="shared" ref="K110" si="150">K109+K107</f>
        <v>212640</v>
      </c>
      <c r="L110" s="18">
        <f t="shared" ref="L110" si="151">L109+L107</f>
        <v>159600</v>
      </c>
      <c r="M110" s="13">
        <f>SUM(G110:L110)</f>
        <v>1401000</v>
      </c>
    </row>
    <row r="111" spans="5:13" ht="21" hidden="1" thickTop="1" x14ac:dyDescent="0.6">
      <c r="E111" s="2" t="s">
        <v>38</v>
      </c>
      <c r="F111" s="6" t="s">
        <v>15</v>
      </c>
      <c r="G111" s="20">
        <v>194</v>
      </c>
      <c r="H111" s="20">
        <v>60</v>
      </c>
      <c r="I111" s="20">
        <v>189</v>
      </c>
      <c r="J111" s="20">
        <v>176</v>
      </c>
      <c r="K111" s="20">
        <v>189</v>
      </c>
      <c r="L111" s="20">
        <v>200</v>
      </c>
      <c r="M111" s="24">
        <f t="shared" ref="M111:M112" si="152">SUM(G111:L111)</f>
        <v>1008</v>
      </c>
    </row>
    <row r="112" spans="5:13" ht="21.6" hidden="1" thickTop="1" thickBot="1" x14ac:dyDescent="0.65">
      <c r="E112" s="2" t="s">
        <v>38</v>
      </c>
      <c r="F112" s="8" t="s">
        <v>16</v>
      </c>
      <c r="G112" s="21">
        <f>15*20</f>
        <v>300</v>
      </c>
      <c r="H112" s="21">
        <f t="shared" ref="H112:L112" si="153">15*20</f>
        <v>300</v>
      </c>
      <c r="I112" s="21">
        <f t="shared" si="153"/>
        <v>300</v>
      </c>
      <c r="J112" s="21">
        <f t="shared" si="153"/>
        <v>300</v>
      </c>
      <c r="K112" s="21">
        <f t="shared" si="153"/>
        <v>300</v>
      </c>
      <c r="L112" s="21">
        <f t="shared" si="153"/>
        <v>300</v>
      </c>
      <c r="M112" s="24">
        <f t="shared" si="152"/>
        <v>1800</v>
      </c>
    </row>
    <row r="113" spans="5:13" ht="21" hidden="1" thickTop="1" x14ac:dyDescent="0.6">
      <c r="E113" s="2" t="s">
        <v>39</v>
      </c>
      <c r="F113" s="5" t="s">
        <v>54</v>
      </c>
      <c r="G113" s="14">
        <v>2915</v>
      </c>
      <c r="H113" s="14">
        <v>2136</v>
      </c>
      <c r="I113" s="14">
        <v>3824</v>
      </c>
      <c r="J113" s="14">
        <v>3690</v>
      </c>
      <c r="K113" s="14">
        <v>1843</v>
      </c>
      <c r="L113" s="14">
        <v>3410</v>
      </c>
      <c r="M113" s="13">
        <f>SUM(G113:L113)</f>
        <v>17818</v>
      </c>
    </row>
    <row r="114" spans="5:13" ht="21" hidden="1" thickTop="1" x14ac:dyDescent="0.6">
      <c r="E114" s="2" t="s">
        <v>39</v>
      </c>
      <c r="F114" s="6" t="s">
        <v>0</v>
      </c>
      <c r="G114" s="15">
        <f t="shared" ref="G114:M114" si="154">((($M$20/$P$9)*$P$10)/$M$14)%*G113</f>
        <v>2498.5714285714284</v>
      </c>
      <c r="H114" s="15">
        <f t="shared" si="154"/>
        <v>1830.8571428571427</v>
      </c>
      <c r="I114" s="15">
        <f t="shared" si="154"/>
        <v>3277.7142857142853</v>
      </c>
      <c r="J114" s="15">
        <f t="shared" si="154"/>
        <v>3162.8571428571427</v>
      </c>
      <c r="K114" s="15">
        <f t="shared" si="154"/>
        <v>1579.7142857142856</v>
      </c>
      <c r="L114" s="15">
        <f t="shared" si="154"/>
        <v>2922.8571428571427</v>
      </c>
      <c r="M114" s="13">
        <f t="shared" si="154"/>
        <v>15272.571428571428</v>
      </c>
    </row>
    <row r="115" spans="5:13" ht="21" hidden="1" thickTop="1" x14ac:dyDescent="0.6">
      <c r="E115" s="2" t="s">
        <v>39</v>
      </c>
      <c r="F115" s="6" t="s">
        <v>19</v>
      </c>
      <c r="G115" s="15">
        <f t="shared" ref="G115:M115" si="155">((($M$21/140)*$P$10)/$M$15)%*G114</f>
        <v>2117.8264567365404</v>
      </c>
      <c r="H115" s="15">
        <f t="shared" si="155"/>
        <v>1551.8618564628646</v>
      </c>
      <c r="I115" s="15">
        <f t="shared" si="155"/>
        <v>2778.2395782368885</v>
      </c>
      <c r="J115" s="15">
        <f t="shared" si="155"/>
        <v>2680.88494866478</v>
      </c>
      <c r="K115" s="15">
        <f t="shared" si="155"/>
        <v>1338.9894201596719</v>
      </c>
      <c r="L115" s="15">
        <f t="shared" si="155"/>
        <v>2477.4573644842549</v>
      </c>
      <c r="M115" s="13">
        <f t="shared" si="155"/>
        <v>12945.259624745</v>
      </c>
    </row>
    <row r="116" spans="5:13" ht="21" hidden="1" thickTop="1" x14ac:dyDescent="0.6">
      <c r="E116" s="2" t="s">
        <v>39</v>
      </c>
      <c r="F116" s="6" t="s">
        <v>20</v>
      </c>
      <c r="G116" s="16">
        <f>G113-G115</f>
        <v>797.17354326345958</v>
      </c>
      <c r="H116" s="16">
        <f t="shared" ref="H116" si="156">H113-H115</f>
        <v>584.13814353713542</v>
      </c>
      <c r="I116" s="16">
        <f t="shared" ref="I116" si="157">I113-I115</f>
        <v>1045.7604217631115</v>
      </c>
      <c r="J116" s="16">
        <f t="shared" ref="J116" si="158">J113-J115</f>
        <v>1009.11505133522</v>
      </c>
      <c r="K116" s="16">
        <f t="shared" ref="K116" si="159">K113-K115</f>
        <v>504.01057984032809</v>
      </c>
      <c r="L116" s="16">
        <f t="shared" ref="L116" si="160">L113-L115</f>
        <v>932.54263551574513</v>
      </c>
      <c r="M116" s="13">
        <f t="shared" ref="M116" si="161">M113-M115</f>
        <v>4872.7403752549999</v>
      </c>
    </row>
    <row r="117" spans="5:13" ht="21" hidden="1" thickTop="1" x14ac:dyDescent="0.6">
      <c r="E117" s="2" t="s">
        <v>39</v>
      </c>
      <c r="F117" s="6" t="s">
        <v>29</v>
      </c>
      <c r="G117" s="17">
        <f>G114/11</f>
        <v>227.14285714285714</v>
      </c>
      <c r="H117" s="17">
        <f>H114/15</f>
        <v>122.05714285714285</v>
      </c>
      <c r="I117" s="17">
        <f>I114/17</f>
        <v>192.8067226890756</v>
      </c>
      <c r="J117" s="17">
        <f>J114/17</f>
        <v>186.05042016806721</v>
      </c>
      <c r="K117" s="17">
        <f>K114/12</f>
        <v>131.64285714285714</v>
      </c>
      <c r="L117" s="17">
        <f>L114/15</f>
        <v>194.85714285714283</v>
      </c>
      <c r="M117" s="13">
        <f>SUM(G117:L117)</f>
        <v>1054.5571428571427</v>
      </c>
    </row>
    <row r="118" spans="5:13" ht="21" hidden="1" thickTop="1" x14ac:dyDescent="0.6">
      <c r="E118" s="2" t="s">
        <v>39</v>
      </c>
      <c r="F118" s="6" t="s">
        <v>21</v>
      </c>
      <c r="G118" s="18">
        <f t="shared" ref="G118:L118" si="162">G117*$P$13</f>
        <v>69960</v>
      </c>
      <c r="H118" s="18">
        <f t="shared" si="162"/>
        <v>37593.599999999999</v>
      </c>
      <c r="I118" s="18">
        <f t="shared" si="162"/>
        <v>59384.470588235286</v>
      </c>
      <c r="J118" s="18">
        <f t="shared" si="162"/>
        <v>57303.529411764699</v>
      </c>
      <c r="K118" s="18">
        <f t="shared" si="162"/>
        <v>40546</v>
      </c>
      <c r="L118" s="18">
        <f t="shared" si="162"/>
        <v>60015.999999999993</v>
      </c>
      <c r="M118" s="13">
        <f>SUM(G118:L118)</f>
        <v>324803.59999999998</v>
      </c>
    </row>
    <row r="119" spans="5:13" ht="21" hidden="1" thickTop="1" x14ac:dyDescent="0.6">
      <c r="E119" s="2" t="s">
        <v>39</v>
      </c>
      <c r="F119" s="6" t="s">
        <v>17</v>
      </c>
      <c r="G119" s="18">
        <f>G113*120</f>
        <v>349800</v>
      </c>
      <c r="H119" s="18">
        <f t="shared" ref="H119:L119" si="163">H113*120</f>
        <v>256320</v>
      </c>
      <c r="I119" s="18">
        <f t="shared" si="163"/>
        <v>458880</v>
      </c>
      <c r="J119" s="18">
        <f t="shared" si="163"/>
        <v>442800</v>
      </c>
      <c r="K119" s="18">
        <f t="shared" si="163"/>
        <v>221160</v>
      </c>
      <c r="L119" s="18">
        <f t="shared" si="163"/>
        <v>409200</v>
      </c>
      <c r="M119" s="13">
        <f>SUM(G119:L119)</f>
        <v>2138160</v>
      </c>
    </row>
    <row r="120" spans="5:13" ht="21" hidden="1" thickTop="1" x14ac:dyDescent="0.6">
      <c r="E120" s="2" t="s">
        <v>39</v>
      </c>
      <c r="F120" s="6" t="s">
        <v>22</v>
      </c>
      <c r="G120" s="18">
        <f>G119-G118</f>
        <v>279840</v>
      </c>
      <c r="H120" s="18">
        <f t="shared" ref="H120:L120" si="164">H119-H118</f>
        <v>218726.39999999999</v>
      </c>
      <c r="I120" s="18">
        <f t="shared" si="164"/>
        <v>399495.5294117647</v>
      </c>
      <c r="J120" s="18">
        <f t="shared" si="164"/>
        <v>385496.4705882353</v>
      </c>
      <c r="K120" s="18">
        <f t="shared" si="164"/>
        <v>180614</v>
      </c>
      <c r="L120" s="18">
        <f t="shared" si="164"/>
        <v>349184</v>
      </c>
      <c r="M120" s="13">
        <f>SUM(G120:L120)</f>
        <v>1813356.4</v>
      </c>
    </row>
    <row r="121" spans="5:13" ht="21" hidden="1" thickTop="1" x14ac:dyDescent="0.6">
      <c r="E121" s="2" t="s">
        <v>39</v>
      </c>
      <c r="F121" s="6" t="s">
        <v>18</v>
      </c>
      <c r="G121" s="18">
        <f>G120+G118</f>
        <v>349800</v>
      </c>
      <c r="H121" s="18">
        <f t="shared" ref="H121" si="165">H120+H118</f>
        <v>256320</v>
      </c>
      <c r="I121" s="18">
        <f t="shared" ref="I121" si="166">I120+I118</f>
        <v>458880</v>
      </c>
      <c r="J121" s="18">
        <f t="shared" ref="J121" si="167">J120+J118</f>
        <v>442800</v>
      </c>
      <c r="K121" s="18">
        <f t="shared" ref="K121" si="168">K120+K118</f>
        <v>221160</v>
      </c>
      <c r="L121" s="18">
        <f t="shared" ref="L121" si="169">L120+L118</f>
        <v>409200</v>
      </c>
      <c r="M121" s="13">
        <f>SUM(G121:L121)</f>
        <v>2138160</v>
      </c>
    </row>
    <row r="122" spans="5:13" ht="21" hidden="1" thickTop="1" x14ac:dyDescent="0.6">
      <c r="E122" s="2" t="s">
        <v>39</v>
      </c>
      <c r="F122" s="6" t="s">
        <v>15</v>
      </c>
      <c r="G122" s="20">
        <v>342</v>
      </c>
      <c r="H122" s="20">
        <v>331</v>
      </c>
      <c r="I122" s="20">
        <v>501</v>
      </c>
      <c r="J122" s="20">
        <v>468</v>
      </c>
      <c r="K122" s="20">
        <v>602</v>
      </c>
      <c r="L122" s="20">
        <v>608</v>
      </c>
      <c r="M122" s="24">
        <f t="shared" ref="M122:M123" si="170">SUM(G122:L122)</f>
        <v>2852</v>
      </c>
    </row>
    <row r="123" spans="5:13" ht="21.6" hidden="1" thickTop="1" thickBot="1" x14ac:dyDescent="0.65">
      <c r="E123" s="2" t="s">
        <v>39</v>
      </c>
      <c r="F123" s="8" t="s">
        <v>16</v>
      </c>
      <c r="G123" s="21">
        <f>15*20</f>
        <v>300</v>
      </c>
      <c r="H123" s="21">
        <f t="shared" ref="H123:L123" si="171">15*20</f>
        <v>300</v>
      </c>
      <c r="I123" s="21">
        <f t="shared" si="171"/>
        <v>300</v>
      </c>
      <c r="J123" s="21">
        <f t="shared" si="171"/>
        <v>300</v>
      </c>
      <c r="K123" s="21">
        <f t="shared" si="171"/>
        <v>300</v>
      </c>
      <c r="L123" s="21">
        <f t="shared" si="171"/>
        <v>300</v>
      </c>
      <c r="M123" s="24">
        <f t="shared" si="170"/>
        <v>1800</v>
      </c>
    </row>
    <row r="124" spans="5:13" ht="21" hidden="1" thickTop="1" x14ac:dyDescent="0.6">
      <c r="E124" s="2" t="s">
        <v>40</v>
      </c>
      <c r="F124" s="5" t="s">
        <v>55</v>
      </c>
      <c r="G124" s="14">
        <v>1515</v>
      </c>
      <c r="H124" s="14">
        <v>2658</v>
      </c>
      <c r="I124" s="14">
        <v>1739</v>
      </c>
      <c r="J124" s="14">
        <v>3176</v>
      </c>
      <c r="K124" s="14">
        <v>2125</v>
      </c>
      <c r="L124" s="14">
        <v>1586</v>
      </c>
      <c r="M124" s="13">
        <f>SUM(G124:L124)</f>
        <v>12799</v>
      </c>
    </row>
    <row r="125" spans="5:13" ht="21" hidden="1" thickTop="1" x14ac:dyDescent="0.6">
      <c r="E125" s="2" t="s">
        <v>40</v>
      </c>
      <c r="F125" s="6" t="s">
        <v>0</v>
      </c>
      <c r="G125" s="15">
        <f t="shared" ref="G125:M125" si="172">((($M$20/$P$9)*$P$10)/$M$14)%*G124</f>
        <v>1298.5714285714284</v>
      </c>
      <c r="H125" s="15">
        <f t="shared" si="172"/>
        <v>2278.2857142857142</v>
      </c>
      <c r="I125" s="15">
        <f t="shared" si="172"/>
        <v>1490.5714285714284</v>
      </c>
      <c r="J125" s="15">
        <f t="shared" si="172"/>
        <v>2722.2857142857142</v>
      </c>
      <c r="K125" s="15">
        <f t="shared" si="172"/>
        <v>1821.4285714285713</v>
      </c>
      <c r="L125" s="15">
        <f t="shared" si="172"/>
        <v>1359.4285714285713</v>
      </c>
      <c r="M125" s="13">
        <f t="shared" si="172"/>
        <v>10970.571428571428</v>
      </c>
    </row>
    <row r="126" spans="5:13" ht="21" hidden="1" thickTop="1" x14ac:dyDescent="0.6">
      <c r="E126" s="2" t="s">
        <v>40</v>
      </c>
      <c r="F126" s="6" t="s">
        <v>19</v>
      </c>
      <c r="G126" s="15">
        <f t="shared" ref="G126:M126" si="173">((($M$21/140)*$P$10)/$M$15)%*G125</f>
        <v>1100.6885358339139</v>
      </c>
      <c r="H126" s="15">
        <f t="shared" si="173"/>
        <v>1931.1089955422726</v>
      </c>
      <c r="I126" s="15">
        <f t="shared" si="173"/>
        <v>1263.430603178334</v>
      </c>
      <c r="J126" s="15">
        <f t="shared" si="173"/>
        <v>2307.4500262762444</v>
      </c>
      <c r="K126" s="15">
        <f t="shared" si="173"/>
        <v>1543.8700585129154</v>
      </c>
      <c r="L126" s="15">
        <f t="shared" si="173"/>
        <v>1152.2719589654041</v>
      </c>
      <c r="M126" s="13">
        <f t="shared" si="173"/>
        <v>9298.8201783090844</v>
      </c>
    </row>
    <row r="127" spans="5:13" ht="21" hidden="1" thickTop="1" x14ac:dyDescent="0.6">
      <c r="E127" s="2" t="s">
        <v>40</v>
      </c>
      <c r="F127" s="6" t="s">
        <v>20</v>
      </c>
      <c r="G127" s="16">
        <f>G124-G126</f>
        <v>414.31146416608613</v>
      </c>
      <c r="H127" s="16">
        <f t="shared" ref="H127" si="174">H124-H126</f>
        <v>726.89100445772738</v>
      </c>
      <c r="I127" s="16">
        <f t="shared" ref="I127" si="175">I124-I126</f>
        <v>475.56939682166603</v>
      </c>
      <c r="J127" s="16">
        <f t="shared" ref="J127" si="176">J124-J126</f>
        <v>868.54997372375556</v>
      </c>
      <c r="K127" s="16">
        <f t="shared" ref="K127" si="177">K124-K126</f>
        <v>581.12994148708458</v>
      </c>
      <c r="L127" s="16">
        <f t="shared" ref="L127" si="178">L124-L126</f>
        <v>433.72804103459589</v>
      </c>
      <c r="M127" s="13">
        <f t="shared" ref="M127" si="179">M124-M126</f>
        <v>3500.1798216909156</v>
      </c>
    </row>
    <row r="128" spans="5:13" ht="21" hidden="1" thickTop="1" x14ac:dyDescent="0.6">
      <c r="E128" s="2" t="s">
        <v>40</v>
      </c>
      <c r="F128" s="6" t="s">
        <v>29</v>
      </c>
      <c r="G128" s="17">
        <f>G125/11</f>
        <v>118.05194805194805</v>
      </c>
      <c r="H128" s="17">
        <f>H125/15</f>
        <v>151.88571428571427</v>
      </c>
      <c r="I128" s="17">
        <f>I125/17</f>
        <v>87.680672268907557</v>
      </c>
      <c r="J128" s="17">
        <f>J125/17</f>
        <v>160.1344537815126</v>
      </c>
      <c r="K128" s="17">
        <f>K125/12</f>
        <v>151.78571428571428</v>
      </c>
      <c r="L128" s="17">
        <f>L125/15</f>
        <v>90.628571428571419</v>
      </c>
      <c r="M128" s="13">
        <f>SUM(G128:L128)</f>
        <v>760.16707410236813</v>
      </c>
    </row>
    <row r="129" spans="5:13" ht="21" hidden="1" thickTop="1" x14ac:dyDescent="0.6">
      <c r="E129" s="2" t="s">
        <v>40</v>
      </c>
      <c r="F129" s="6" t="s">
        <v>21</v>
      </c>
      <c r="G129" s="18">
        <f t="shared" ref="G129:L129" si="180">G128*$P$13</f>
        <v>36360</v>
      </c>
      <c r="H129" s="18">
        <f t="shared" si="180"/>
        <v>46780.799999999996</v>
      </c>
      <c r="I129" s="18">
        <f t="shared" si="180"/>
        <v>27005.647058823528</v>
      </c>
      <c r="J129" s="18">
        <f t="shared" si="180"/>
        <v>49321.411764705881</v>
      </c>
      <c r="K129" s="18">
        <f t="shared" si="180"/>
        <v>46750</v>
      </c>
      <c r="L129" s="18">
        <f t="shared" si="180"/>
        <v>27913.599999999999</v>
      </c>
      <c r="M129" s="13">
        <f>SUM(G129:L129)</f>
        <v>234131.45882352939</v>
      </c>
    </row>
    <row r="130" spans="5:13" ht="21" hidden="1" thickTop="1" x14ac:dyDescent="0.6">
      <c r="E130" s="2" t="s">
        <v>40</v>
      </c>
      <c r="F130" s="6" t="s">
        <v>17</v>
      </c>
      <c r="G130" s="18">
        <f>G124*120</f>
        <v>181800</v>
      </c>
      <c r="H130" s="18">
        <f t="shared" ref="H130:L130" si="181">H124*120</f>
        <v>318960</v>
      </c>
      <c r="I130" s="18">
        <f t="shared" si="181"/>
        <v>208680</v>
      </c>
      <c r="J130" s="18">
        <f t="shared" si="181"/>
        <v>381120</v>
      </c>
      <c r="K130" s="18">
        <f t="shared" si="181"/>
        <v>255000</v>
      </c>
      <c r="L130" s="18">
        <f t="shared" si="181"/>
        <v>190320</v>
      </c>
      <c r="M130" s="13">
        <f>SUM(G130:L130)</f>
        <v>1535880</v>
      </c>
    </row>
    <row r="131" spans="5:13" ht="21" hidden="1" thickTop="1" x14ac:dyDescent="0.6">
      <c r="E131" s="2" t="s">
        <v>40</v>
      </c>
      <c r="F131" s="6" t="s">
        <v>22</v>
      </c>
      <c r="G131" s="18">
        <f>G130-G129</f>
        <v>145440</v>
      </c>
      <c r="H131" s="18">
        <f t="shared" ref="H131:L131" si="182">H130-H129</f>
        <v>272179.20000000001</v>
      </c>
      <c r="I131" s="18">
        <f t="shared" si="182"/>
        <v>181674.35294117648</v>
      </c>
      <c r="J131" s="18">
        <f t="shared" si="182"/>
        <v>331798.5882352941</v>
      </c>
      <c r="K131" s="18">
        <f t="shared" si="182"/>
        <v>208250</v>
      </c>
      <c r="L131" s="18">
        <f t="shared" si="182"/>
        <v>162406.39999999999</v>
      </c>
      <c r="M131" s="13">
        <f>SUM(G131:L131)</f>
        <v>1301748.5411764705</v>
      </c>
    </row>
    <row r="132" spans="5:13" ht="21" hidden="1" thickTop="1" x14ac:dyDescent="0.6">
      <c r="E132" s="2" t="s">
        <v>40</v>
      </c>
      <c r="F132" s="6" t="s">
        <v>18</v>
      </c>
      <c r="G132" s="18">
        <f>G131+G129</f>
        <v>181800</v>
      </c>
      <c r="H132" s="18">
        <f t="shared" ref="H132" si="183">H131+H129</f>
        <v>318960</v>
      </c>
      <c r="I132" s="18">
        <f t="shared" ref="I132" si="184">I131+I129</f>
        <v>208680</v>
      </c>
      <c r="J132" s="18">
        <f t="shared" ref="J132" si="185">J131+J129</f>
        <v>381120</v>
      </c>
      <c r="K132" s="18">
        <f t="shared" ref="K132" si="186">K131+K129</f>
        <v>255000</v>
      </c>
      <c r="L132" s="18">
        <f t="shared" ref="L132" si="187">L131+L129</f>
        <v>190320</v>
      </c>
      <c r="M132" s="13">
        <f>SUM(G132:L132)</f>
        <v>1535880</v>
      </c>
    </row>
    <row r="133" spans="5:13" ht="21" hidden="1" thickTop="1" x14ac:dyDescent="0.6">
      <c r="E133" s="2" t="s">
        <v>40</v>
      </c>
      <c r="F133" s="6" t="s">
        <v>15</v>
      </c>
      <c r="G133" s="20">
        <v>507</v>
      </c>
      <c r="H133" s="20">
        <v>301</v>
      </c>
      <c r="I133" s="20">
        <v>388</v>
      </c>
      <c r="J133" s="20">
        <v>427</v>
      </c>
      <c r="K133" s="20">
        <v>521</v>
      </c>
      <c r="L133" s="20">
        <v>572</v>
      </c>
      <c r="M133" s="24">
        <f t="shared" ref="M133:M134" si="188">SUM(G133:L133)</f>
        <v>2716</v>
      </c>
    </row>
    <row r="134" spans="5:13" ht="21.6" hidden="1" thickTop="1" thickBot="1" x14ac:dyDescent="0.65">
      <c r="E134" s="2" t="s">
        <v>40</v>
      </c>
      <c r="F134" s="8" t="s">
        <v>16</v>
      </c>
      <c r="G134" s="21">
        <f>15*20</f>
        <v>300</v>
      </c>
      <c r="H134" s="21">
        <f t="shared" ref="H134:L134" si="189">15*20</f>
        <v>300</v>
      </c>
      <c r="I134" s="21">
        <f t="shared" si="189"/>
        <v>300</v>
      </c>
      <c r="J134" s="21">
        <f t="shared" si="189"/>
        <v>300</v>
      </c>
      <c r="K134" s="21">
        <f t="shared" si="189"/>
        <v>300</v>
      </c>
      <c r="L134" s="21">
        <f t="shared" si="189"/>
        <v>300</v>
      </c>
      <c r="M134" s="24">
        <f t="shared" si="188"/>
        <v>1800</v>
      </c>
    </row>
    <row r="135" spans="5:13" ht="21" hidden="1" thickTop="1" x14ac:dyDescent="0.6">
      <c r="E135" s="2" t="s">
        <v>43</v>
      </c>
      <c r="F135" s="6" t="s">
        <v>56</v>
      </c>
      <c r="G135" s="15">
        <v>1938</v>
      </c>
      <c r="H135" s="15">
        <v>2952</v>
      </c>
      <c r="I135" s="15">
        <v>2777</v>
      </c>
      <c r="J135" s="15">
        <v>2728</v>
      </c>
      <c r="K135" s="15">
        <v>1593</v>
      </c>
      <c r="L135" s="15">
        <v>3050</v>
      </c>
      <c r="M135" s="13">
        <f>SUM(G135:L135)</f>
        <v>15038</v>
      </c>
    </row>
    <row r="136" spans="5:13" ht="21" hidden="1" thickTop="1" x14ac:dyDescent="0.6">
      <c r="E136" s="2" t="s">
        <v>43</v>
      </c>
      <c r="F136" s="6" t="s">
        <v>0</v>
      </c>
      <c r="G136" s="15">
        <f t="shared" ref="G136:M136" si="190">((($M$20/$P$9)*$P$10)/$M$14)%*G135</f>
        <v>1661.1428571428571</v>
      </c>
      <c r="H136" s="15">
        <f t="shared" si="190"/>
        <v>2530.2857142857142</v>
      </c>
      <c r="I136" s="15">
        <f t="shared" si="190"/>
        <v>2380.2857142857142</v>
      </c>
      <c r="J136" s="15">
        <f t="shared" si="190"/>
        <v>2338.2857142857142</v>
      </c>
      <c r="K136" s="15">
        <f t="shared" si="190"/>
        <v>1365.4285714285713</v>
      </c>
      <c r="L136" s="15">
        <f t="shared" si="190"/>
        <v>2614.2857142857142</v>
      </c>
      <c r="M136" s="13">
        <f t="shared" si="190"/>
        <v>12889.714285714284</v>
      </c>
    </row>
    <row r="137" spans="5:13" ht="21" hidden="1" thickTop="1" x14ac:dyDescent="0.6">
      <c r="E137" s="2" t="s">
        <v>43</v>
      </c>
      <c r="F137" s="6" t="s">
        <v>19</v>
      </c>
      <c r="G137" s="15">
        <f t="shared" ref="G137:M137" si="191">((($M$21/140)*$P$10)/$M$15)%*G136</f>
        <v>1408.009493363779</v>
      </c>
      <c r="H137" s="15">
        <f t="shared" si="191"/>
        <v>2144.7079589318241</v>
      </c>
      <c r="I137" s="15">
        <f t="shared" si="191"/>
        <v>2017.5657188189959</v>
      </c>
      <c r="J137" s="15">
        <f t="shared" si="191"/>
        <v>1981.965891587404</v>
      </c>
      <c r="K137" s="15">
        <f t="shared" si="191"/>
        <v>1157.3576485699173</v>
      </c>
      <c r="L137" s="15">
        <f t="shared" si="191"/>
        <v>2215.907613395008</v>
      </c>
      <c r="M137" s="13">
        <f t="shared" si="191"/>
        <v>10925.514324666927</v>
      </c>
    </row>
    <row r="138" spans="5:13" ht="21" hidden="1" thickTop="1" x14ac:dyDescent="0.6">
      <c r="E138" s="2" t="s">
        <v>43</v>
      </c>
      <c r="F138" s="6" t="s">
        <v>20</v>
      </c>
      <c r="G138" s="16">
        <f>G135-G137</f>
        <v>529.99050663622097</v>
      </c>
      <c r="H138" s="16">
        <f t="shared" ref="H138" si="192">H135-H137</f>
        <v>807.29204106817588</v>
      </c>
      <c r="I138" s="16">
        <f t="shared" ref="I138" si="193">I135-I137</f>
        <v>759.43428118100405</v>
      </c>
      <c r="J138" s="16">
        <f t="shared" ref="J138" si="194">J135-J137</f>
        <v>746.03410841259597</v>
      </c>
      <c r="K138" s="16">
        <f t="shared" ref="K138" si="195">K135-K137</f>
        <v>435.64235143008273</v>
      </c>
      <c r="L138" s="16">
        <f t="shared" ref="L138" si="196">L135-L137</f>
        <v>834.09238660499204</v>
      </c>
      <c r="M138" s="13">
        <f t="shared" ref="M138" si="197">M135-M137</f>
        <v>4112.4856753330732</v>
      </c>
    </row>
    <row r="139" spans="5:13" ht="21" hidden="1" thickTop="1" x14ac:dyDescent="0.6">
      <c r="E139" s="2" t="s">
        <v>43</v>
      </c>
      <c r="F139" s="6" t="s">
        <v>29</v>
      </c>
      <c r="G139" s="17">
        <f>G136/11</f>
        <v>151.012987012987</v>
      </c>
      <c r="H139" s="17">
        <f>H136/15</f>
        <v>168.68571428571428</v>
      </c>
      <c r="I139" s="17">
        <f>I136/17</f>
        <v>140.01680672268907</v>
      </c>
      <c r="J139" s="17">
        <f>J136/17</f>
        <v>137.54621848739495</v>
      </c>
      <c r="K139" s="17">
        <f>K136/12</f>
        <v>113.78571428571428</v>
      </c>
      <c r="L139" s="17">
        <f>L136/15</f>
        <v>174.28571428571428</v>
      </c>
      <c r="M139" s="13">
        <f>SUM(G139:L139)</f>
        <v>885.33315508021383</v>
      </c>
    </row>
    <row r="140" spans="5:13" ht="21" hidden="1" thickTop="1" x14ac:dyDescent="0.6">
      <c r="E140" s="2" t="s">
        <v>43</v>
      </c>
      <c r="F140" s="6" t="s">
        <v>21</v>
      </c>
      <c r="G140" s="18">
        <f t="shared" ref="G140:L140" si="198">G139*$P$13</f>
        <v>46511.999999999993</v>
      </c>
      <c r="H140" s="18">
        <f t="shared" si="198"/>
        <v>51955.199999999997</v>
      </c>
      <c r="I140" s="18">
        <f t="shared" si="198"/>
        <v>43125.176470588231</v>
      </c>
      <c r="J140" s="18">
        <f t="shared" si="198"/>
        <v>42364.235294117643</v>
      </c>
      <c r="K140" s="18">
        <f t="shared" si="198"/>
        <v>35046</v>
      </c>
      <c r="L140" s="18">
        <f t="shared" si="198"/>
        <v>53680</v>
      </c>
      <c r="M140" s="13">
        <f>SUM(G140:L140)</f>
        <v>272682.61176470586</v>
      </c>
    </row>
    <row r="141" spans="5:13" ht="21" hidden="1" thickTop="1" x14ac:dyDescent="0.6">
      <c r="E141" s="2" t="s">
        <v>43</v>
      </c>
      <c r="F141" s="6" t="s">
        <v>17</v>
      </c>
      <c r="G141" s="18">
        <f>G135*120</f>
        <v>232560</v>
      </c>
      <c r="H141" s="18">
        <f t="shared" ref="H141:L141" si="199">H135*120</f>
        <v>354240</v>
      </c>
      <c r="I141" s="18">
        <f t="shared" si="199"/>
        <v>333240</v>
      </c>
      <c r="J141" s="18">
        <f t="shared" si="199"/>
        <v>327360</v>
      </c>
      <c r="K141" s="18">
        <f t="shared" si="199"/>
        <v>191160</v>
      </c>
      <c r="L141" s="18">
        <f t="shared" si="199"/>
        <v>366000</v>
      </c>
      <c r="M141" s="13">
        <f>SUM(G141:L141)</f>
        <v>1804560</v>
      </c>
    </row>
    <row r="142" spans="5:13" ht="21" hidden="1" thickTop="1" x14ac:dyDescent="0.6">
      <c r="E142" s="2" t="s">
        <v>43</v>
      </c>
      <c r="F142" s="6" t="s">
        <v>22</v>
      </c>
      <c r="G142" s="18">
        <f>G141-G140</f>
        <v>186048</v>
      </c>
      <c r="H142" s="18">
        <f t="shared" ref="H142:L142" si="200">H141-H140</f>
        <v>302284.79999999999</v>
      </c>
      <c r="I142" s="18">
        <f t="shared" si="200"/>
        <v>290114.82352941175</v>
      </c>
      <c r="J142" s="18">
        <f t="shared" si="200"/>
        <v>284995.76470588235</v>
      </c>
      <c r="K142" s="18">
        <f t="shared" si="200"/>
        <v>156114</v>
      </c>
      <c r="L142" s="18">
        <f t="shared" si="200"/>
        <v>312320</v>
      </c>
      <c r="M142" s="13">
        <f>SUM(G142:L142)</f>
        <v>1531877.388235294</v>
      </c>
    </row>
    <row r="143" spans="5:13" ht="21" hidden="1" thickTop="1" x14ac:dyDescent="0.6">
      <c r="E143" s="2" t="s">
        <v>43</v>
      </c>
      <c r="F143" s="6" t="s">
        <v>18</v>
      </c>
      <c r="G143" s="18">
        <f>G142+G140</f>
        <v>232560</v>
      </c>
      <c r="H143" s="18">
        <f t="shared" ref="H143" si="201">H142+H140</f>
        <v>354240</v>
      </c>
      <c r="I143" s="18">
        <f t="shared" ref="I143" si="202">I142+I140</f>
        <v>333240</v>
      </c>
      <c r="J143" s="18">
        <f t="shared" ref="J143" si="203">J142+J140</f>
        <v>327360</v>
      </c>
      <c r="K143" s="18">
        <f t="shared" ref="K143" si="204">K142+K140</f>
        <v>191160</v>
      </c>
      <c r="L143" s="18">
        <f t="shared" ref="L143" si="205">L142+L140</f>
        <v>366000</v>
      </c>
      <c r="M143" s="13">
        <f>SUM(G143:L143)</f>
        <v>1804560</v>
      </c>
    </row>
    <row r="144" spans="5:13" ht="21" hidden="1" thickTop="1" x14ac:dyDescent="0.6">
      <c r="E144" s="2" t="s">
        <v>43</v>
      </c>
      <c r="F144" s="6" t="s">
        <v>15</v>
      </c>
      <c r="G144" s="20">
        <v>343</v>
      </c>
      <c r="H144" s="20">
        <v>279</v>
      </c>
      <c r="I144" s="20">
        <v>366</v>
      </c>
      <c r="J144" s="20">
        <v>284</v>
      </c>
      <c r="K144" s="20">
        <v>421</v>
      </c>
      <c r="L144" s="20">
        <v>403</v>
      </c>
      <c r="M144" s="24">
        <f t="shared" ref="M144:M145" si="206">SUM(G144:L144)</f>
        <v>2096</v>
      </c>
    </row>
    <row r="145" spans="5:13" ht="21.6" hidden="1" thickTop="1" thickBot="1" x14ac:dyDescent="0.65">
      <c r="E145" s="2" t="s">
        <v>43</v>
      </c>
      <c r="F145" s="8" t="s">
        <v>16</v>
      </c>
      <c r="G145" s="21">
        <f>15*20</f>
        <v>300</v>
      </c>
      <c r="H145" s="21">
        <f t="shared" ref="H145:L145" si="207">15*20</f>
        <v>300</v>
      </c>
      <c r="I145" s="21">
        <f t="shared" si="207"/>
        <v>300</v>
      </c>
      <c r="J145" s="21">
        <f t="shared" si="207"/>
        <v>300</v>
      </c>
      <c r="K145" s="21">
        <f t="shared" si="207"/>
        <v>300</v>
      </c>
      <c r="L145" s="21">
        <f t="shared" si="207"/>
        <v>300</v>
      </c>
      <c r="M145" s="25">
        <f t="shared" si="206"/>
        <v>1800</v>
      </c>
    </row>
    <row r="146" spans="5:13" ht="21" thickTop="1" x14ac:dyDescent="0.6"/>
  </sheetData>
  <mergeCells count="3">
    <mergeCell ref="G11:L11"/>
    <mergeCell ref="C5:I5"/>
    <mergeCell ref="O8:P8"/>
  </mergeCells>
  <phoneticPr fontId="2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BFF83-D38A-49EB-8BA4-0DDFAE8BEE89}">
  <sheetPr>
    <pageSetUpPr fitToPage="1"/>
  </sheetPr>
  <dimension ref="B1:E14"/>
  <sheetViews>
    <sheetView workbookViewId="0"/>
  </sheetViews>
  <sheetFormatPr baseColWidth="10" defaultRowHeight="15.6" x14ac:dyDescent="0.3"/>
  <cols>
    <col min="1" max="1" width="4.6328125" customWidth="1"/>
    <col min="2" max="2" width="22.6328125" customWidth="1"/>
    <col min="3" max="5" width="18.6328125" customWidth="1"/>
  </cols>
  <sheetData>
    <row r="1" spans="2:5" ht="7.95" customHeight="1" x14ac:dyDescent="0.3"/>
    <row r="2" spans="2:5" ht="49.95" customHeight="1" x14ac:dyDescent="0.3">
      <c r="B2" s="36" t="s">
        <v>68</v>
      </c>
      <c r="C2" s="37"/>
      <c r="D2" s="37"/>
      <c r="E2" s="37"/>
    </row>
    <row r="3" spans="2:5" ht="10.050000000000001" customHeight="1" x14ac:dyDescent="0.3"/>
    <row r="4" spans="2:5" ht="22.05" customHeight="1" x14ac:dyDescent="0.3">
      <c r="B4" s="38" t="s">
        <v>69</v>
      </c>
      <c r="C4" s="37"/>
      <c r="D4" s="37"/>
      <c r="E4" s="37"/>
    </row>
    <row r="5" spans="2:5" ht="7.95" customHeight="1" x14ac:dyDescent="0.3"/>
    <row r="6" spans="2:5" ht="24" customHeight="1" x14ac:dyDescent="0.3">
      <c r="B6" s="26" t="s">
        <v>60</v>
      </c>
      <c r="C6" s="26" t="s">
        <v>61</v>
      </c>
      <c r="D6" s="26" t="s">
        <v>62</v>
      </c>
      <c r="E6" s="26" t="s">
        <v>63</v>
      </c>
    </row>
    <row r="7" spans="2:5" x14ac:dyDescent="0.3">
      <c r="B7" s="27" t="s">
        <v>1</v>
      </c>
      <c r="C7" s="28">
        <v>24000</v>
      </c>
      <c r="D7" s="28">
        <v>96000</v>
      </c>
      <c r="E7" s="28">
        <v>120000</v>
      </c>
    </row>
    <row r="8" spans="2:5" x14ac:dyDescent="0.3">
      <c r="B8" s="29" t="s">
        <v>3</v>
      </c>
      <c r="C8" s="30">
        <v>31433.599999999999</v>
      </c>
      <c r="D8" s="30">
        <v>182886.39999999999</v>
      </c>
      <c r="E8" s="30">
        <v>214320</v>
      </c>
    </row>
    <row r="9" spans="2:5" x14ac:dyDescent="0.3">
      <c r="B9" s="27" t="s">
        <v>4</v>
      </c>
      <c r="C9" s="28">
        <v>27844.240000000002</v>
      </c>
      <c r="D9" s="28">
        <v>187315.76</v>
      </c>
      <c r="E9" s="28">
        <v>215160</v>
      </c>
    </row>
    <row r="10" spans="2:5" x14ac:dyDescent="0.3">
      <c r="B10" s="29" t="s">
        <v>6</v>
      </c>
      <c r="C10" s="30">
        <v>46401.88</v>
      </c>
      <c r="D10" s="30">
        <v>312158.12</v>
      </c>
      <c r="E10" s="30">
        <v>358560</v>
      </c>
    </row>
    <row r="11" spans="2:5" x14ac:dyDescent="0.3">
      <c r="B11" s="27" t="s">
        <v>8</v>
      </c>
      <c r="C11" s="28">
        <v>28358</v>
      </c>
      <c r="D11" s="28">
        <v>126322</v>
      </c>
      <c r="E11" s="28">
        <v>154680</v>
      </c>
    </row>
    <row r="12" spans="2:5" x14ac:dyDescent="0.3">
      <c r="B12" s="29" t="s">
        <v>9</v>
      </c>
      <c r="C12" s="30">
        <v>49896</v>
      </c>
      <c r="D12" s="30">
        <v>290304</v>
      </c>
      <c r="E12" s="30">
        <v>340200</v>
      </c>
    </row>
    <row r="14" spans="2:5" x14ac:dyDescent="0.3">
      <c r="B14" s="39" t="s">
        <v>70</v>
      </c>
      <c r="C14" s="40"/>
      <c r="D14" s="40"/>
      <c r="E14" s="40"/>
    </row>
  </sheetData>
  <mergeCells count="3">
    <mergeCell ref="B2:E2"/>
    <mergeCell ref="B4:E4"/>
    <mergeCell ref="B14:E14"/>
  </mergeCells>
  <pageMargins left="0.5" right="0.5" top="0.5" bottom="0.5" header="0.3" footer="0.3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730364-8E7B-459C-992F-3FBEBFBB2F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Panel</vt:lpstr>
      <vt:lpstr>Resumen mensual</vt:lpstr>
      <vt:lpstr>INFORME_TEMP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alexander casanova retamal</dc:creator>
  <cp:lastModifiedBy>Valery Chaparro Navarro</cp:lastModifiedBy>
  <cp:lastPrinted>2026-06-30T15:39:21Z</cp:lastPrinted>
  <dcterms:created xsi:type="dcterms:W3CDTF">2026-03-30T18:19:25Z</dcterms:created>
  <dcterms:modified xsi:type="dcterms:W3CDTF">2026-06-30T16:59:56Z</dcterms:modified>
</cp:coreProperties>
</file>