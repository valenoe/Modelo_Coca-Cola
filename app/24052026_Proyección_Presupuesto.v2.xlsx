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51e5493e413da3/Desktop/Seguros Digitales/2.- El Roble - Coca Cola/Planificación Logistica/"/>
    </mc:Choice>
  </mc:AlternateContent>
  <xr:revisionPtr revIDLastSave="0" documentId="13_ncr:1_{6B8F1B57-5BE0-44C1-8A06-482866713E3D}" xr6:coauthVersionLast="47" xr6:coauthVersionMax="47" xr10:uidLastSave="{00000000-0000-0000-0000-000000000000}"/>
  <bookViews>
    <workbookView minimized="1" xWindow="2232" yWindow="2232" windowWidth="17280" windowHeight="8880" activeTab="1" xr2:uid="{EDDF9DEA-0482-4257-A05E-F498F9B2828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2" l="1"/>
  <c r="F7" i="2" s="1"/>
  <c r="H14" i="2" l="1"/>
  <c r="I14" i="2"/>
  <c r="J14" i="2"/>
  <c r="K14" i="2"/>
  <c r="L14" i="2"/>
  <c r="M14" i="2"/>
  <c r="M7" i="2" s="1"/>
  <c r="G14" i="2"/>
  <c r="H7" i="2" l="1"/>
  <c r="I7" i="2"/>
  <c r="J7" i="2"/>
  <c r="K7" i="2"/>
  <c r="L7" i="2"/>
  <c r="G7" i="2"/>
  <c r="N7" i="2" l="1"/>
  <c r="H2" i="2" l="1"/>
  <c r="G37" i="2"/>
  <c r="C19" i="2" l="1"/>
  <c r="D19" i="2"/>
  <c r="E19" i="2"/>
  <c r="F19" i="2"/>
  <c r="G19" i="2"/>
  <c r="H19" i="2"/>
  <c r="I19" i="2"/>
  <c r="J19" i="2"/>
  <c r="K19" i="2"/>
  <c r="L19" i="2"/>
  <c r="M19" i="2"/>
  <c r="B19" i="2"/>
  <c r="N18" i="2"/>
  <c r="C2" i="2" l="1"/>
  <c r="D2" i="2"/>
  <c r="E2" i="2"/>
  <c r="E4" i="2" s="1"/>
  <c r="F2" i="2"/>
  <c r="F4" i="2" s="1"/>
  <c r="G2" i="2"/>
  <c r="G4" i="2" s="1"/>
  <c r="H4" i="2"/>
  <c r="I2" i="2"/>
  <c r="I4" i="2" s="1"/>
  <c r="J2" i="2"/>
  <c r="J4" i="2" s="1"/>
  <c r="K2" i="2"/>
  <c r="K4" i="2" s="1"/>
  <c r="L2" i="2"/>
  <c r="L4" i="2" s="1"/>
  <c r="M2" i="2"/>
  <c r="M4" i="2" s="1"/>
  <c r="B2" i="2"/>
  <c r="N17" i="2"/>
  <c r="N19" i="2" s="1"/>
  <c r="B4" i="2" l="1"/>
  <c r="N3" i="2"/>
  <c r="C4" i="2"/>
  <c r="D4" i="2"/>
  <c r="N2" i="2"/>
  <c r="L5" i="1"/>
  <c r="L3" i="1"/>
  <c r="I8" i="1"/>
  <c r="H7" i="1"/>
  <c r="J7" i="1" s="1"/>
  <c r="L7" i="1" s="1"/>
  <c r="H6" i="1"/>
  <c r="J6" i="1" s="1"/>
  <c r="L6" i="1" s="1"/>
  <c r="H5" i="1"/>
  <c r="J5" i="1" s="1"/>
  <c r="H4" i="1"/>
  <c r="J4" i="1" s="1"/>
  <c r="L4" i="1" s="1"/>
  <c r="H3" i="1"/>
  <c r="J3" i="1" s="1"/>
  <c r="N4" i="2" l="1"/>
  <c r="K8" i="1"/>
  <c r="H8" i="1"/>
  <c r="J8" i="1"/>
</calcChain>
</file>

<file path=xl/sharedStrings.xml><?xml version="1.0" encoding="utf-8"?>
<sst xmlns="http://schemas.openxmlformats.org/spreadsheetml/2006/main" count="100" uniqueCount="53">
  <si>
    <t>SEMANA 4ª</t>
  </si>
  <si>
    <t>30 de Marzo al 03 de Abril 2026</t>
  </si>
  <si>
    <t>Colación</t>
  </si>
  <si>
    <t>Movilización</t>
  </si>
  <si>
    <t>Peajes</t>
  </si>
  <si>
    <t>Pasajes</t>
  </si>
  <si>
    <t>Kilometrajes</t>
  </si>
  <si>
    <t>Total</t>
  </si>
  <si>
    <t>SEMANA 5ª</t>
  </si>
  <si>
    <t>06 al 10 de Abril 2026</t>
  </si>
  <si>
    <t>SEMANA 1ª</t>
  </si>
  <si>
    <t>13 al 17 de Abril 2026</t>
  </si>
  <si>
    <t>SEMANA 2ª</t>
  </si>
  <si>
    <t>20 al 24 de Abril 2026</t>
  </si>
  <si>
    <t>SEMANA 3ª</t>
  </si>
  <si>
    <t>27 Abril al 01 de Mayo 2026</t>
  </si>
  <si>
    <t xml:space="preserve">valor km </t>
  </si>
  <si>
    <t>06 al 10 abr</t>
  </si>
  <si>
    <t>13 al 17 abr</t>
  </si>
  <si>
    <t>20 al 24 abr</t>
  </si>
  <si>
    <t>Días Trabajados</t>
  </si>
  <si>
    <t>30 mar al 03 abr</t>
  </si>
  <si>
    <t>27 abr al 01 may</t>
  </si>
  <si>
    <t>Pago total x km</t>
  </si>
  <si>
    <t>km total</t>
  </si>
  <si>
    <t>prom km x dias</t>
  </si>
  <si>
    <t>Kilometraje del 01 al 30 de abril 2026</t>
  </si>
  <si>
    <t>Enero</t>
  </si>
  <si>
    <t>Febrero</t>
  </si>
  <si>
    <t>Abril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</si>
  <si>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</si>
  <si>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</si>
  <si>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</si>
  <si>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</si>
  <si>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</si>
  <si>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</si>
  <si>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</si>
  <si>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</si>
  <si>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</si>
  <si>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Diferencia Mensual</t>
  </si>
  <si>
    <t>Año</t>
  </si>
  <si>
    <t>Km Total</t>
  </si>
  <si>
    <t>Pago Total</t>
  </si>
  <si>
    <t>Kilometraje</t>
  </si>
  <si>
    <t>Carlos</t>
  </si>
  <si>
    <t>Marco</t>
  </si>
  <si>
    <t>Samuel</t>
  </si>
  <si>
    <t>Cristian</t>
  </si>
  <si>
    <t>Pablo</t>
  </si>
  <si>
    <t>Mauricio</t>
  </si>
  <si>
    <t>Mes</t>
  </si>
  <si>
    <t>Presupuesto Actual</t>
  </si>
  <si>
    <t>Reembolso de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</si>
</sst>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(* #,##0_);_(* \(#,##0\);_(* &quot;-&quot;??_);_(@_)"/>
    <numFmt numFmtId="165" formatCode="_-* #,##0_-;\-* #,##0_-;_-* &quot;-&quot;??_-;_-@_-"/>
    <numFmt numFmtId="166" formatCode="&quot;$&quot;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2" fontId="0" fillId="0" borderId="0" xfId="1" applyFont="1"/>
    <xf numFmtId="165" fontId="0" fillId="0" borderId="1" xfId="0" applyNumberFormat="1" applyBorder="1" applyAlignment="1">
      <alignment horizontal="center" vertical="center"/>
    </xf>
    <xf numFmtId="42" fontId="0" fillId="0" borderId="1" xfId="1" applyFont="1" applyBorder="1" applyAlignment="1">
      <alignment horizontal="center" vertical="center"/>
    </xf>
    <xf numFmtId="42" fontId="0" fillId="0" borderId="1" xfId="1" applyFont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42" fontId="0" fillId="0" borderId="1" xfId="1" applyFont="1" applyFill="1" applyBorder="1"/>
    <xf numFmtId="0" fontId="2" fillId="2" borderId="1" xfId="0" applyFont="1" applyFill="1" applyBorder="1" applyAlignment="1">
      <alignment horizontal="center"/>
    </xf>
    <xf numFmtId="165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42" fontId="7" fillId="0" borderId="0" xfId="1" applyFont="1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6" fillId="0" borderId="0" xfId="1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/>
    <xf numFmtId="0" fontId="0" fillId="0" borderId="0" xfId="0" applyAlignment="1">
      <alignment vertical="center"/>
    </xf>
    <xf numFmtId="42" fontId="7" fillId="0" borderId="0" xfId="1" applyFont="1" applyFill="1" applyAlignment="1">
      <alignment horizontal="center" vertical="center"/>
    </xf>
    <xf numFmtId="42" fontId="6" fillId="0" borderId="0" xfId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42" fontId="4" fillId="0" borderId="2" xfId="0" applyNumberFormat="1" applyFont="1" applyBorder="1" applyAlignment="1">
      <alignment horizontal="center"/>
    </xf>
    <xf numFmtId="42" fontId="4" fillId="0" borderId="3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32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Proyección de Gasto Mensual 2025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Hoja2!$A$2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Hoja2!$B$1:$N$1</c15:sqref>
                  </c15:fullRef>
                </c:ext>
              </c:extLst>
              <c:f>Hoja2!$B$1:$M$1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Hoja2!$B$2:$N$2</c15:sqref>
                  </c15:fullRef>
                </c:ext>
              </c:extLst>
              <c:f>Hoja2!$B$2:$M$2</c:f>
              <c:numCache>
                <c:formatCode>_("$"* #,##0_);_("$"* \(#,##0\);_("$"* "-"_);_(@_)</c:formatCode>
                <c:ptCount val="12"/>
                <c:pt idx="0">
                  <c:v>2162160</c:v>
                </c:pt>
                <c:pt idx="1">
                  <c:v>951960</c:v>
                </c:pt>
                <c:pt idx="2">
                  <c:v>1402920</c:v>
                </c:pt>
                <c:pt idx="3">
                  <c:v>2101320</c:v>
                </c:pt>
                <c:pt idx="4">
                  <c:v>1674600</c:v>
                </c:pt>
                <c:pt idx="5">
                  <c:v>2112840</c:v>
                </c:pt>
                <c:pt idx="6">
                  <c:v>1811640</c:v>
                </c:pt>
                <c:pt idx="7">
                  <c:v>1575480</c:v>
                </c:pt>
                <c:pt idx="8">
                  <c:v>1401000</c:v>
                </c:pt>
                <c:pt idx="9">
                  <c:v>2138160</c:v>
                </c:pt>
                <c:pt idx="10">
                  <c:v>1535880</c:v>
                </c:pt>
                <c:pt idx="11">
                  <c:v>1804560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B-4C87-835F-54CCBD2323C9}"/>
            </c:ext>
          </c:extLst>
        </c:ser>
        <c:ser>
          <c:idx val="1"/>
          <c:order val="1"/>
          <c:tx>
            <c:strRef>
              <c:f>Hoja2!$A$3</c:f>
              <c:strCache>
                <c:ptCount val="1"/>
                <c:pt idx="0">
                  <c:v>2026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Hoja2!$B$1:$N$1</c15:sqref>
                  </c15:fullRef>
                </c:ext>
              </c:extLst>
              <c:f>Hoja2!$B$1:$M$1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Hoja2!$B$3:$N$3</c15:sqref>
                  </c15:fullRef>
                </c:ext>
              </c:extLst>
              <c:f>Hoja2!$B$3:$M$3</c:f>
              <c:numCache>
                <c:formatCode>_("$"* #,##0_);_("$"* \(#,##0\);_("$"* "-"_);_(@_)</c:formatCode>
                <c:ptCount val="12"/>
                <c:pt idx="0">
                  <c:v>1829760</c:v>
                </c:pt>
                <c:pt idx="1">
                  <c:v>1200360</c:v>
                </c:pt>
                <c:pt idx="2">
                  <c:v>1316640</c:v>
                </c:pt>
                <c:pt idx="3">
                  <c:v>1662720</c:v>
                </c:pt>
                <c:pt idx="4">
                  <c:v>1978340</c:v>
                </c:pt>
                <c:pt idx="5">
                  <c:v>1812100</c:v>
                </c:pt>
                <c:pt idx="6">
                  <c:v>1812100</c:v>
                </c:pt>
                <c:pt idx="7">
                  <c:v>1812100</c:v>
                </c:pt>
                <c:pt idx="8">
                  <c:v>1812100</c:v>
                </c:pt>
                <c:pt idx="9">
                  <c:v>1812100</c:v>
                </c:pt>
                <c:pt idx="10">
                  <c:v>1812100</c:v>
                </c:pt>
                <c:pt idx="11">
                  <c:v>1812100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B-4C87-835F-54CCBD2323C9}"/>
            </c:ext>
          </c:extLst>
        </c:ser>
        <c:ser>
          <c:idx val="2"/>
          <c:order val="2"/>
          <c:tx>
            <c:strRef>
              <c:f>Hoja2!$A$4</c:f>
              <c:strCache>
                <c:ptCount val="1"/>
                <c:pt idx="0">
                  <c:v>Diferencia Mensual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 cap="flat" cmpd="sng" algn="ctr">
                <a:noFill/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Hoja2!$B$1:$N$1</c15:sqref>
                  </c15:fullRef>
                </c:ext>
              </c:extLst>
              <c:f>Hoja2!$B$1:$M$1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Hoja2!$B$4:$N$4</c15:sqref>
                  </c15:fullRef>
                </c:ext>
              </c:extLst>
              <c:f>Hoja2!$B$4:$M$4</c:f>
              <c:numCache>
                <c:formatCode>_("$"* #,##0_);_("$"* \(#,##0\);_("$"* "-"_);_(@_)</c:formatCode>
                <c:ptCount val="12"/>
                <c:pt idx="0">
                  <c:v>332400</c:v>
                </c:pt>
                <c:pt idx="1">
                  <c:v>-248400</c:v>
                </c:pt>
                <c:pt idx="2">
                  <c:v>86280</c:v>
                </c:pt>
                <c:pt idx="3">
                  <c:v>438600</c:v>
                </c:pt>
                <c:pt idx="4">
                  <c:v>-303740</c:v>
                </c:pt>
                <c:pt idx="5">
                  <c:v>300740</c:v>
                </c:pt>
                <c:pt idx="6">
                  <c:v>-460</c:v>
                </c:pt>
                <c:pt idx="7">
                  <c:v>-236620</c:v>
                </c:pt>
                <c:pt idx="8">
                  <c:v>-411100</c:v>
                </c:pt>
                <c:pt idx="9">
                  <c:v>326060</c:v>
                </c:pt>
                <c:pt idx="10">
                  <c:v>-276220</c:v>
                </c:pt>
                <c:pt idx="11">
                  <c:v>-7540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E9B-4C87-835F-54CCBD23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36907712"/>
        <c:axId val="536906752"/>
      </c:lineChart>
      <c:catAx>
        <c:axId val="5369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906752"/>
        <c:crosses val="autoZero"/>
        <c:auto val="1"/>
        <c:lblAlgn val="ctr"/>
        <c:lblOffset val="100"/>
        <c:noMultiLvlLbl val="0"/>
      </c:catAx>
      <c:valAx>
        <c:axId val="536906752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907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Proyección de Km</a:t>
            </a:r>
            <a:r>
              <a:rPr lang="es-ES" b="1" baseline="0"/>
              <a:t> Mensual 2025 vs 2026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Hoja2!$A$17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round/>
              </a:ln>
              <a:effectLst/>
            </c:spPr>
          </c:marker>
          <c:cat>
            <c:strRef>
              <c:f>Hoja2!$B$16:$M$16</c:f>
              <c:strCache>
                <c:ptCount val="12"/>
                <c:pt idx="0">
                  <c:v> Enero </c:v>
                </c:pt>
                <c:pt idx="1">
                  <c:v>Febrero</c:v>
                </c:pt>
                <c:pt idx="2">
                  <c:v>Marzo</c:v>
                </c:pt>
                <c:pt idx="3">
                  <c:v> Abril </c:v>
                </c:pt>
                <c:pt idx="4">
                  <c:v>Mayo</c:v>
                </c:pt>
                <c:pt idx="5">
                  <c:v>Junio</c:v>
                </c:pt>
                <c:pt idx="6">
                  <c:v> Julio </c:v>
                </c:pt>
                <c:pt idx="7">
                  <c:v>Agosto</c:v>
                </c:pt>
                <c:pt idx="8">
                  <c:v>Septiembre</c:v>
                </c:pt>
                <c:pt idx="9">
                  <c:v> Octubre 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Hoja2!$B$17:$M$17</c:f>
              <c:numCache>
                <c:formatCode>#,##0</c:formatCode>
                <c:ptCount val="12"/>
                <c:pt idx="0">
                  <c:v>18018</c:v>
                </c:pt>
                <c:pt idx="1">
                  <c:v>7933</c:v>
                </c:pt>
                <c:pt idx="2">
                  <c:v>11691</c:v>
                </c:pt>
                <c:pt idx="3">
                  <c:v>17511</c:v>
                </c:pt>
                <c:pt idx="4">
                  <c:v>13955</c:v>
                </c:pt>
                <c:pt idx="5">
                  <c:v>17607</c:v>
                </c:pt>
                <c:pt idx="6">
                  <c:v>15097</c:v>
                </c:pt>
                <c:pt idx="7">
                  <c:v>13129</c:v>
                </c:pt>
                <c:pt idx="8">
                  <c:v>11675</c:v>
                </c:pt>
                <c:pt idx="9">
                  <c:v>17818</c:v>
                </c:pt>
                <c:pt idx="10">
                  <c:v>12799</c:v>
                </c:pt>
                <c:pt idx="11">
                  <c:v>15038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6-4C12-BC6C-CCF43075B725}"/>
            </c:ext>
          </c:extLst>
        </c:ser>
        <c:ser>
          <c:idx val="1"/>
          <c:order val="1"/>
          <c:tx>
            <c:strRef>
              <c:f>Hoja2!$A$18</c:f>
              <c:strCache>
                <c:ptCount val="1"/>
                <c:pt idx="0">
                  <c:v>2026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Hoja2!$B$16:$M$16</c:f>
              <c:strCache>
                <c:ptCount val="12"/>
                <c:pt idx="0">
                  <c:v> Enero </c:v>
                </c:pt>
                <c:pt idx="1">
                  <c:v>Febrero</c:v>
                </c:pt>
                <c:pt idx="2">
                  <c:v>Marzo</c:v>
                </c:pt>
                <c:pt idx="3">
                  <c:v> Abril </c:v>
                </c:pt>
                <c:pt idx="4">
                  <c:v>Mayo</c:v>
                </c:pt>
                <c:pt idx="5">
                  <c:v>Junio</c:v>
                </c:pt>
                <c:pt idx="6">
                  <c:v> Julio </c:v>
                </c:pt>
                <c:pt idx="7">
                  <c:v>Agosto</c:v>
                </c:pt>
                <c:pt idx="8">
                  <c:v>Septiembre</c:v>
                </c:pt>
                <c:pt idx="9">
                  <c:v> Octubre 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Hoja2!$B$18:$M$18</c:f>
              <c:numCache>
                <c:formatCode>#,##0</c:formatCode>
                <c:ptCount val="12"/>
                <c:pt idx="0">
                  <c:v>11038</c:v>
                </c:pt>
                <c:pt idx="1">
                  <c:v>8587</c:v>
                </c:pt>
                <c:pt idx="2">
                  <c:v>15019</c:v>
                </c:pt>
                <c:pt idx="3">
                  <c:v>7961</c:v>
                </c:pt>
                <c:pt idx="4">
                  <c:v>9500</c:v>
                </c:pt>
                <c:pt idx="5">
                  <c:v>17166.57143</c:v>
                </c:pt>
                <c:pt idx="6">
                  <c:v>17166.57143</c:v>
                </c:pt>
                <c:pt idx="7">
                  <c:v>17166.57143</c:v>
                </c:pt>
                <c:pt idx="8">
                  <c:v>17166.57143</c:v>
                </c:pt>
                <c:pt idx="9">
                  <c:v>17166.57143</c:v>
                </c:pt>
                <c:pt idx="10">
                  <c:v>17166.57143</c:v>
                </c:pt>
                <c:pt idx="11">
                  <c:v>17166.57143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6-4C12-BC6C-CCF43075B725}"/>
            </c:ext>
          </c:extLst>
        </c:ser>
        <c:ser>
          <c:idx val="2"/>
          <c:order val="2"/>
          <c:tx>
            <c:strRef>
              <c:f>Hoja2!$A$19</c:f>
              <c:strCache>
                <c:ptCount val="1"/>
                <c:pt idx="0">
                  <c:v>Diferencia Mensual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cat>
            <c:strRef>
              <c:f>Hoja2!$B$16:$M$16</c:f>
              <c:strCache>
                <c:ptCount val="12"/>
                <c:pt idx="0">
                  <c:v> Enero </c:v>
                </c:pt>
                <c:pt idx="1">
                  <c:v>Febrero</c:v>
                </c:pt>
                <c:pt idx="2">
                  <c:v>Marzo</c:v>
                </c:pt>
                <c:pt idx="3">
                  <c:v> Abril </c:v>
                </c:pt>
                <c:pt idx="4">
                  <c:v>Mayo</c:v>
                </c:pt>
                <c:pt idx="5">
                  <c:v>Junio</c:v>
                </c:pt>
                <c:pt idx="6">
                  <c:v> Julio </c:v>
                </c:pt>
                <c:pt idx="7">
                  <c:v>Agosto</c:v>
                </c:pt>
                <c:pt idx="8">
                  <c:v>Septiembre</c:v>
                </c:pt>
                <c:pt idx="9">
                  <c:v> Octubre 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Hoja2!$B$19:$M$19</c:f>
              <c:numCache>
                <c:formatCode>#,##0</c:formatCode>
                <c:ptCount val="12"/>
                <c:pt idx="0">
                  <c:v>6980</c:v>
                </c:pt>
                <c:pt idx="1">
                  <c:v>-654</c:v>
                </c:pt>
                <c:pt idx="2">
                  <c:v>-3328</c:v>
                </c:pt>
                <c:pt idx="3">
                  <c:v>9550</c:v>
                </c:pt>
                <c:pt idx="4">
                  <c:v>4455</c:v>
                </c:pt>
                <c:pt idx="5">
                  <c:v>440.42857000000004</c:v>
                </c:pt>
                <c:pt idx="6">
                  <c:v>-2069.57143</c:v>
                </c:pt>
                <c:pt idx="7">
                  <c:v>-4037.57143</c:v>
                </c:pt>
                <c:pt idx="8">
                  <c:v>-5491.57143</c:v>
                </c:pt>
                <c:pt idx="9">
                  <c:v>651.42857000000004</c:v>
                </c:pt>
                <c:pt idx="10">
                  <c:v>-4367.57143</c:v>
                </c:pt>
                <c:pt idx="11">
                  <c:v>-2128.57143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46-4C12-BC6C-CCF43075B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34245887"/>
        <c:axId val="1534246367"/>
      </c:lineChart>
      <c:catAx>
        <c:axId val="15342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4246367"/>
        <c:crosses val="autoZero"/>
        <c:auto val="1"/>
        <c:lblAlgn val="ctr"/>
        <c:lblOffset val="100"/>
        <c:noMultiLvlLbl val="0"/>
      </c:catAx>
      <c:valAx>
        <c:axId val="15342463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4245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118358</xdr:rowOff>
    </xdr:from>
    <xdr:to>
      <xdr:col>14</xdr:col>
      <xdr:colOff>21980</xdr:colOff>
      <xdr:row>50</xdr:row>
      <xdr:rowOff>146538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AE851E5-4E90-604B-163E-A710DF6FB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14654</xdr:colOff>
      <xdr:row>20</xdr:row>
      <xdr:rowOff>2198</xdr:rowOff>
    </xdr:from>
    <xdr:to>
      <xdr:col>14</xdr:col>
      <xdr:colOff>7327</xdr:colOff>
      <xdr:row>34</xdr:row>
      <xdr:rowOff>78398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726EAA-E4E8-273E-0114-DEC68585B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05742-742F-4489-815C-34D5E239622F}" name="Tabla1" displayName="Tabla1" ref="A1:N4" totalsRowShown="0" headerRowDxfId="31" dataDxfId="30">
  <autoFilter ref="A1:N4" xr:uid="{DCF05742-742F-4489-815C-34D5E239622F}"/>
  <tableColumns count="14">
    <tableColumn id="1" xr3:uid="{50D6CB26-DDCE-4993-88B4-EB73AF17A690}" name="Año" dataDxfId="29"/>
    <tableColumn id="2" xr3:uid="{9BBCEC43-2CD6-4C33-9EFB-ED8DA4D677AA}" name="Enero" dataDxfId="28" dataCellStyle="Moneda [0]"/>
    <tableColumn id="3" xr3:uid="{12E633ED-DEFB-4D7F-92A0-7FD54F94BA8C}" name="Febrero" dataDxfId="27"/>
    <tableColumn id="4" xr3:uid="{83BA4A12-E2F4-4253-BE36-24ECD0EA915F}" name="Marzo" dataDxfId="26"/>
    <tableColumn id="5" xr3:uid="{6DA4718F-769E-4DA0-8A2C-67EA1142127C}" name="Abril" dataDxfId="25"/>
    <tableColumn id="6" xr3:uid="{CED798BC-12AA-4A80-B475-E2975BE5EEDC}" name="Mayo" dataDxfId="24"/>
    <tableColumn id="7" xr3:uid="{DB6A49BA-6846-4174-9350-CDEE0F3D8D09}" name="Junio" dataDxfId="23"/>
    <tableColumn id="8" xr3:uid="{7E481939-1C90-4CCE-A763-255B74F23D90}" name="Julio" dataDxfId="22"/>
    <tableColumn id="9" xr3:uid="{24BE9826-AD6A-4228-83EF-BCD8CFABA828}" name="Agosto" dataDxfId="21"/>
    <tableColumn id="10" xr3:uid="{228917FA-C199-4C39-8F50-731E605FB51F}" name="Septiembre" dataDxfId="20"/>
    <tableColumn id="11" xr3:uid="{0D2CB27F-72EB-4F47-A959-64DC18F3614D}" name="Octubre" dataDxfId="19"/>
    <tableColumn id="12" xr3:uid="{7B9DB2DC-0F7C-4843-BA0A-B31F44E00707}" name="Noviembre" dataDxfId="18"/>
    <tableColumn id="13" xr3:uid="{78611C0E-6356-4380-9860-E14C71B9616D}" name="Diciembre" dataDxfId="17"/>
    <tableColumn id="14" xr3:uid="{21ADC55B-705E-41D0-AD7C-F5523DDA005C}" name="Pago Total" dataDxfId="16" dataCellStyle="Moneda [0]">
      <calculatedColumnFormula>SUM(B2:M2)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9F22B-0902-4AA0-B7F4-4D0ECE21456A}" name="Tabla2" displayName="Tabla2" ref="A16:N19" totalsRowShown="0" headerRowDxfId="15" dataDxfId="14">
  <autoFilter ref="A16:N19" xr:uid="{2FF9F22B-0902-4AA0-B7F4-4D0ECE21456A}"/>
  <tableColumns count="14">
    <tableColumn id="1" xr3:uid="{E78316C3-8D80-43A7-8E8C-4D4DE927D65A}" name="Año" dataDxfId="13"/>
    <tableColumn id="2" xr3:uid="{30EA43C1-07EA-4377-BE13-72B83ADE2E28}" name="Enero" dataDxfId="12"/>
    <tableColumn id="3" xr3:uid="{7920469D-E465-4187-9429-BD1786EAF0D0}" name="Febrero" dataDxfId="11"/>
    <tableColumn id="4" xr3:uid="{EA05FCFD-6866-457E-AFF9-24D07A464B68}" name="Marzo" dataDxfId="10"/>
    <tableColumn id="5" xr3:uid="{21607F2C-A384-4188-9EBD-FFE9D9EF5610}" name="Abril" dataDxfId="9"/>
    <tableColumn id="6" xr3:uid="{2B1A0037-77F0-42BA-9663-59D99B881D75}" name="Mayo" dataDxfId="8"/>
    <tableColumn id="7" xr3:uid="{F72C0846-3D76-40A4-BE43-8593CF1B22B9}" name="Junio" dataDxfId="7"/>
    <tableColumn id="8" xr3:uid="{400E90DD-462E-4209-B954-81F4A88BCB30}" name="Julio" dataDxfId="6"/>
    <tableColumn id="9" xr3:uid="{41F952AF-5BA6-4EFD-BCCC-AED420508585}" name="Agosto" dataDxfId="5"/>
    <tableColumn id="10" xr3:uid="{29FCB0DD-13DC-4FEF-9676-0E9602B7EEDE}" name="Septiembre" dataDxfId="4"/>
    <tableColumn id="11" xr3:uid="{4CCA5038-5711-4361-BBCC-6288501CD9DA}" name="Octubre" dataDxfId="3"/>
    <tableColumn id="12" xr3:uid="{F6581F5C-3193-4824-902D-D38ECD35016D}" name="Noviembre" dataDxfId="2"/>
    <tableColumn id="13" xr3:uid="{F0D333FF-C074-46BA-A56D-0A920DDAB988}" name="Diciembre" dataDxfId="1"/>
    <tableColumn id="14" xr3:uid="{5682A71F-3BDF-451B-B37B-CF40421B600D}" name="Km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2AE0-47CC-4745-B25C-812666608283}">
  <dimension ref="A1:L50"/>
  <sheetViews>
    <sheetView zoomScale="49" zoomScaleNormal="190" workbookViewId="0">
      <selection activeCell="K8" sqref="K8:L8"/>
    </sheetView>
  </sheetViews>
  <sheetFormatPr baseColWidth="10" defaultRowHeight="14.4" x14ac:dyDescent="0.3"/>
  <cols>
    <col min="7" max="7" width="15" bestFit="1" customWidth="1"/>
    <col min="9" max="9" width="15.5546875" bestFit="1" customWidth="1"/>
    <col min="10" max="10" width="14.44140625" bestFit="1" customWidth="1"/>
    <col min="11" max="11" width="9" bestFit="1" customWidth="1"/>
    <col min="12" max="12" width="14.44140625" bestFit="1" customWidth="1"/>
  </cols>
  <sheetData>
    <row r="1" spans="1:12" x14ac:dyDescent="0.3">
      <c r="A1" s="32" t="s">
        <v>0</v>
      </c>
      <c r="B1" s="32"/>
      <c r="C1" s="32"/>
      <c r="D1" s="32"/>
      <c r="E1" s="32"/>
      <c r="F1" s="1"/>
      <c r="H1" s="35" t="s">
        <v>26</v>
      </c>
      <c r="I1" s="36"/>
      <c r="J1" s="36"/>
      <c r="K1" s="36"/>
      <c r="L1" s="36"/>
    </row>
    <row r="2" spans="1:12" x14ac:dyDescent="0.3">
      <c r="A2" s="32" t="s">
        <v>1</v>
      </c>
      <c r="B2" s="32"/>
      <c r="C2" s="32"/>
      <c r="D2" s="32"/>
      <c r="E2" s="32"/>
      <c r="F2" s="1"/>
      <c r="H2" s="17" t="s">
        <v>24</v>
      </c>
      <c r="I2" s="17" t="s">
        <v>20</v>
      </c>
      <c r="J2" s="17" t="s">
        <v>25</v>
      </c>
      <c r="K2" s="17" t="s">
        <v>16</v>
      </c>
      <c r="L2" s="17" t="s">
        <v>23</v>
      </c>
    </row>
    <row r="3" spans="1:12" x14ac:dyDescent="0.3">
      <c r="A3" s="2" t="s">
        <v>2</v>
      </c>
      <c r="B3" s="32" t="s">
        <v>3</v>
      </c>
      <c r="C3" s="32"/>
      <c r="D3" s="32"/>
      <c r="E3" s="32"/>
      <c r="F3" s="1"/>
      <c r="G3" s="15" t="s">
        <v>21</v>
      </c>
      <c r="H3" s="9">
        <f>SUM(D5:D10)</f>
        <v>2057</v>
      </c>
      <c r="I3" s="9">
        <v>2</v>
      </c>
      <c r="J3" s="9">
        <f>H3/4</f>
        <v>514.25</v>
      </c>
      <c r="K3" s="10">
        <v>140</v>
      </c>
      <c r="L3" s="10">
        <f>J3*K3*I3</f>
        <v>143990</v>
      </c>
    </row>
    <row r="4" spans="1:12" x14ac:dyDescent="0.3">
      <c r="A4" s="2"/>
      <c r="B4" s="2" t="s">
        <v>4</v>
      </c>
      <c r="C4" s="2" t="s">
        <v>5</v>
      </c>
      <c r="D4" s="2" t="s">
        <v>6</v>
      </c>
      <c r="E4" s="2" t="s">
        <v>7</v>
      </c>
      <c r="F4" s="1"/>
      <c r="G4" s="15" t="s">
        <v>17</v>
      </c>
      <c r="H4" s="7">
        <f>SUM(D15:D20)</f>
        <v>2473</v>
      </c>
      <c r="I4" s="4">
        <v>5</v>
      </c>
      <c r="J4" s="7">
        <f>H4/5</f>
        <v>494.6</v>
      </c>
      <c r="K4" s="11">
        <v>140</v>
      </c>
      <c r="L4" s="11">
        <f>J4*K4*I4</f>
        <v>346220</v>
      </c>
    </row>
    <row r="5" spans="1:12" x14ac:dyDescent="0.3">
      <c r="A5" s="3">
        <v>0</v>
      </c>
      <c r="B5" s="3">
        <v>1600</v>
      </c>
      <c r="C5" s="3">
        <v>0</v>
      </c>
      <c r="D5" s="4">
        <v>630</v>
      </c>
      <c r="E5" s="3">
        <v>75600</v>
      </c>
      <c r="F5" s="12"/>
      <c r="G5" s="15" t="s">
        <v>18</v>
      </c>
      <c r="H5" s="7">
        <f>SUM(D15:D20)</f>
        <v>2473</v>
      </c>
      <c r="I5" s="4">
        <v>5</v>
      </c>
      <c r="J5" s="7">
        <f>H5/5</f>
        <v>494.6</v>
      </c>
      <c r="K5" s="11">
        <v>140</v>
      </c>
      <c r="L5" s="11">
        <f>J5*K5*I5</f>
        <v>346220</v>
      </c>
    </row>
    <row r="6" spans="1:12" x14ac:dyDescent="0.3">
      <c r="A6" s="3">
        <v>0</v>
      </c>
      <c r="B6" s="3">
        <v>0</v>
      </c>
      <c r="C6" s="3">
        <v>0</v>
      </c>
      <c r="D6" s="4">
        <v>0</v>
      </c>
      <c r="E6" s="3">
        <v>0</v>
      </c>
      <c r="F6" s="12"/>
      <c r="G6" s="15" t="s">
        <v>19</v>
      </c>
      <c r="H6" s="7">
        <f>SUM(D35:D40)</f>
        <v>1655</v>
      </c>
      <c r="I6" s="4">
        <v>5</v>
      </c>
      <c r="J6" s="7">
        <f>H6/5</f>
        <v>331</v>
      </c>
      <c r="K6" s="11">
        <v>140</v>
      </c>
      <c r="L6" s="11">
        <f>J6*K6*I6</f>
        <v>231700</v>
      </c>
    </row>
    <row r="7" spans="1:12" x14ac:dyDescent="0.3">
      <c r="A7" s="3">
        <v>0</v>
      </c>
      <c r="B7" s="3">
        <v>0</v>
      </c>
      <c r="C7" s="3">
        <v>0</v>
      </c>
      <c r="D7" s="4">
        <v>243</v>
      </c>
      <c r="E7" s="3">
        <v>29160</v>
      </c>
      <c r="F7" s="12"/>
      <c r="G7" s="15" t="s">
        <v>22</v>
      </c>
      <c r="H7" s="7">
        <f>SUM(D45:D50)</f>
        <v>1395</v>
      </c>
      <c r="I7" s="4">
        <v>4</v>
      </c>
      <c r="J7" s="7">
        <f>H7/5</f>
        <v>279</v>
      </c>
      <c r="K7" s="14">
        <v>140</v>
      </c>
      <c r="L7" s="11">
        <f>J7*K7*I7</f>
        <v>156240</v>
      </c>
    </row>
    <row r="8" spans="1:12" x14ac:dyDescent="0.3">
      <c r="A8" s="3">
        <v>0</v>
      </c>
      <c r="B8" s="3">
        <v>0</v>
      </c>
      <c r="C8" s="3">
        <v>0</v>
      </c>
      <c r="D8" s="4">
        <v>466</v>
      </c>
      <c r="E8" s="3">
        <v>55920</v>
      </c>
      <c r="F8" s="12"/>
      <c r="G8" s="15" t="s">
        <v>7</v>
      </c>
      <c r="H8" s="16">
        <f>SUM(H3:H7)</f>
        <v>10053</v>
      </c>
      <c r="I8" s="18">
        <f>SUM(I3:I7)</f>
        <v>21</v>
      </c>
      <c r="J8" s="16">
        <f>SUM(J3:J7)</f>
        <v>2113.4499999999998</v>
      </c>
      <c r="K8" s="33">
        <f>SUM(L3:L7)</f>
        <v>1224370</v>
      </c>
      <c r="L8" s="34"/>
    </row>
    <row r="9" spans="1:12" x14ac:dyDescent="0.3">
      <c r="A9" s="3">
        <v>0</v>
      </c>
      <c r="B9" s="3">
        <v>3200</v>
      </c>
      <c r="C9" s="3">
        <v>0</v>
      </c>
      <c r="D9" s="4">
        <v>423</v>
      </c>
      <c r="E9" s="3">
        <v>50760</v>
      </c>
      <c r="F9" s="12"/>
    </row>
    <row r="10" spans="1:12" x14ac:dyDescent="0.3">
      <c r="A10" s="3">
        <v>0</v>
      </c>
      <c r="B10" s="3">
        <v>0</v>
      </c>
      <c r="C10" s="3">
        <v>0</v>
      </c>
      <c r="D10" s="4">
        <v>295</v>
      </c>
      <c r="E10" s="3">
        <v>35400</v>
      </c>
      <c r="F10" s="12"/>
    </row>
    <row r="11" spans="1:12" x14ac:dyDescent="0.3">
      <c r="A11" s="32" t="s">
        <v>8</v>
      </c>
      <c r="B11" s="32"/>
      <c r="C11" s="32"/>
      <c r="D11" s="32"/>
      <c r="E11" s="32"/>
      <c r="F11" s="1"/>
    </row>
    <row r="12" spans="1:12" x14ac:dyDescent="0.3">
      <c r="A12" s="32" t="s">
        <v>9</v>
      </c>
      <c r="B12" s="32"/>
      <c r="C12" s="32"/>
      <c r="D12" s="32"/>
      <c r="E12" s="32"/>
      <c r="F12" s="1"/>
    </row>
    <row r="13" spans="1:12" x14ac:dyDescent="0.3">
      <c r="A13" s="5" t="s">
        <v>2</v>
      </c>
      <c r="B13" s="32" t="s">
        <v>3</v>
      </c>
      <c r="C13" s="32"/>
      <c r="D13" s="32"/>
      <c r="E13" s="32"/>
      <c r="F13" s="1"/>
    </row>
    <row r="14" spans="1:12" x14ac:dyDescent="0.3">
      <c r="A14" s="5"/>
      <c r="B14" s="5" t="s">
        <v>4</v>
      </c>
      <c r="C14" s="5" t="s">
        <v>5</v>
      </c>
      <c r="D14" s="5" t="s">
        <v>6</v>
      </c>
      <c r="E14" s="5" t="s">
        <v>7</v>
      </c>
    </row>
    <row r="15" spans="1:12" x14ac:dyDescent="0.3">
      <c r="A15" s="6">
        <v>0</v>
      </c>
      <c r="B15" s="6">
        <v>0</v>
      </c>
      <c r="C15" s="6">
        <v>0</v>
      </c>
      <c r="D15" s="7">
        <v>295</v>
      </c>
      <c r="E15" s="6">
        <v>35400</v>
      </c>
      <c r="F15" s="13"/>
    </row>
    <row r="16" spans="1:12" x14ac:dyDescent="0.3">
      <c r="A16" s="6">
        <v>0</v>
      </c>
      <c r="B16" s="6">
        <v>0</v>
      </c>
      <c r="C16" s="6">
        <v>0</v>
      </c>
      <c r="D16" s="7">
        <v>0</v>
      </c>
      <c r="E16" s="6">
        <v>0</v>
      </c>
      <c r="F16" s="13"/>
    </row>
    <row r="17" spans="1:6" x14ac:dyDescent="0.3">
      <c r="A17" s="6">
        <v>0</v>
      </c>
      <c r="B17" s="6">
        <v>0</v>
      </c>
      <c r="C17" s="6">
        <v>0</v>
      </c>
      <c r="D17" s="7">
        <v>375</v>
      </c>
      <c r="E17" s="6">
        <v>45000</v>
      </c>
      <c r="F17" s="13"/>
    </row>
    <row r="18" spans="1:6" x14ac:dyDescent="0.3">
      <c r="A18" s="6">
        <v>0</v>
      </c>
      <c r="B18" s="6">
        <v>0</v>
      </c>
      <c r="C18" s="6">
        <v>0</v>
      </c>
      <c r="D18" s="7">
        <v>728</v>
      </c>
      <c r="E18" s="6">
        <v>87360</v>
      </c>
      <c r="F18" s="13"/>
    </row>
    <row r="19" spans="1:6" x14ac:dyDescent="0.3">
      <c r="A19" s="6">
        <v>0</v>
      </c>
      <c r="B19" s="6">
        <v>6400</v>
      </c>
      <c r="C19" s="6">
        <v>0</v>
      </c>
      <c r="D19" s="7">
        <v>700</v>
      </c>
      <c r="E19" s="6">
        <v>84000</v>
      </c>
      <c r="F19" s="13"/>
    </row>
    <row r="20" spans="1:6" x14ac:dyDescent="0.3">
      <c r="A20" s="6">
        <v>0</v>
      </c>
      <c r="B20" s="6">
        <v>0</v>
      </c>
      <c r="C20" s="6">
        <v>0</v>
      </c>
      <c r="D20" s="7">
        <v>375</v>
      </c>
      <c r="E20" s="6">
        <v>45000</v>
      </c>
      <c r="F20" s="13"/>
    </row>
    <row r="21" spans="1:6" x14ac:dyDescent="0.3">
      <c r="A21" s="32" t="s">
        <v>10</v>
      </c>
      <c r="B21" s="32"/>
      <c r="C21" s="32"/>
      <c r="D21" s="32"/>
      <c r="E21" s="32"/>
      <c r="F21" s="1"/>
    </row>
    <row r="22" spans="1:6" x14ac:dyDescent="0.3">
      <c r="A22" s="32" t="s">
        <v>11</v>
      </c>
      <c r="B22" s="32"/>
      <c r="C22" s="32"/>
      <c r="D22" s="32"/>
      <c r="E22" s="32"/>
      <c r="F22" s="1"/>
    </row>
    <row r="23" spans="1:6" x14ac:dyDescent="0.3">
      <c r="A23" s="5" t="s">
        <v>2</v>
      </c>
      <c r="B23" s="32" t="s">
        <v>3</v>
      </c>
      <c r="C23" s="32"/>
      <c r="D23" s="32"/>
      <c r="E23" s="32"/>
      <c r="F23" s="1"/>
    </row>
    <row r="24" spans="1:6" x14ac:dyDescent="0.3">
      <c r="A24" s="5"/>
      <c r="B24" s="5" t="s">
        <v>4</v>
      </c>
      <c r="C24" s="5" t="s">
        <v>5</v>
      </c>
      <c r="D24" s="5" t="s">
        <v>6</v>
      </c>
      <c r="E24" s="5" t="s">
        <v>7</v>
      </c>
    </row>
    <row r="25" spans="1:6" x14ac:dyDescent="0.3">
      <c r="A25" s="6">
        <v>0</v>
      </c>
      <c r="B25" s="6">
        <v>0</v>
      </c>
      <c r="C25" s="6">
        <v>0</v>
      </c>
      <c r="D25" s="7">
        <v>320</v>
      </c>
      <c r="E25" s="6">
        <v>44800</v>
      </c>
      <c r="F25" s="13"/>
    </row>
    <row r="26" spans="1:6" x14ac:dyDescent="0.3">
      <c r="A26" s="6">
        <v>0</v>
      </c>
      <c r="B26" s="6">
        <v>0</v>
      </c>
      <c r="C26" s="6">
        <v>0</v>
      </c>
      <c r="D26" s="7">
        <v>0</v>
      </c>
      <c r="E26" s="6">
        <v>0</v>
      </c>
      <c r="F26" s="13"/>
    </row>
    <row r="27" spans="1:6" x14ac:dyDescent="0.3">
      <c r="A27" s="6">
        <v>0</v>
      </c>
      <c r="B27" s="6">
        <v>0</v>
      </c>
      <c r="C27" s="6">
        <v>0</v>
      </c>
      <c r="D27" s="7">
        <v>612</v>
      </c>
      <c r="E27" s="6">
        <v>85680</v>
      </c>
      <c r="F27" s="13"/>
    </row>
    <row r="28" spans="1:6" x14ac:dyDescent="0.3">
      <c r="A28" s="6">
        <v>0</v>
      </c>
      <c r="B28" s="6">
        <v>0</v>
      </c>
      <c r="C28" s="6">
        <v>0</v>
      </c>
      <c r="D28" s="7">
        <v>458</v>
      </c>
      <c r="E28" s="6">
        <v>64120</v>
      </c>
      <c r="F28" s="13"/>
    </row>
    <row r="29" spans="1:6" x14ac:dyDescent="0.3">
      <c r="A29" s="6">
        <v>0</v>
      </c>
      <c r="B29" s="6">
        <v>4800</v>
      </c>
      <c r="C29" s="6">
        <v>0</v>
      </c>
      <c r="D29" s="7">
        <v>615</v>
      </c>
      <c r="E29" s="6">
        <v>86100</v>
      </c>
      <c r="F29" s="13"/>
    </row>
    <row r="30" spans="1:6" x14ac:dyDescent="0.3">
      <c r="A30" s="6">
        <v>0</v>
      </c>
      <c r="B30" s="6">
        <v>2400</v>
      </c>
      <c r="C30" s="6">
        <v>0</v>
      </c>
      <c r="D30" s="7">
        <v>433</v>
      </c>
      <c r="E30" s="6">
        <v>60620</v>
      </c>
      <c r="F30" s="13"/>
    </row>
    <row r="31" spans="1:6" x14ac:dyDescent="0.3">
      <c r="A31" s="32" t="s">
        <v>12</v>
      </c>
      <c r="B31" s="32"/>
      <c r="C31" s="32"/>
      <c r="D31" s="32"/>
      <c r="E31" s="32"/>
      <c r="F31" s="1"/>
    </row>
    <row r="32" spans="1:6" x14ac:dyDescent="0.3">
      <c r="A32" s="32" t="s">
        <v>13</v>
      </c>
      <c r="B32" s="32"/>
      <c r="C32" s="32"/>
      <c r="D32" s="32"/>
      <c r="E32" s="32"/>
      <c r="F32" s="1"/>
    </row>
    <row r="33" spans="1:6" x14ac:dyDescent="0.3">
      <c r="A33" s="5" t="s">
        <v>2</v>
      </c>
      <c r="B33" s="32" t="s">
        <v>3</v>
      </c>
      <c r="C33" s="32"/>
      <c r="D33" s="32"/>
      <c r="E33" s="32"/>
      <c r="F33" s="1"/>
    </row>
    <row r="34" spans="1:6" x14ac:dyDescent="0.3">
      <c r="A34" s="5"/>
      <c r="B34" s="5" t="s">
        <v>4</v>
      </c>
      <c r="C34" s="5" t="s">
        <v>5</v>
      </c>
      <c r="D34" s="5" t="s">
        <v>6</v>
      </c>
      <c r="E34" s="5" t="s">
        <v>7</v>
      </c>
    </row>
    <row r="35" spans="1:6" x14ac:dyDescent="0.3">
      <c r="A35" s="6">
        <v>0</v>
      </c>
      <c r="B35" s="6">
        <v>1600</v>
      </c>
      <c r="C35" s="6">
        <v>0</v>
      </c>
      <c r="D35" s="7">
        <v>340</v>
      </c>
      <c r="E35" s="6">
        <v>47600</v>
      </c>
      <c r="F35" s="13"/>
    </row>
    <row r="36" spans="1:6" x14ac:dyDescent="0.3">
      <c r="A36" s="6">
        <v>0</v>
      </c>
      <c r="B36" s="6">
        <v>0</v>
      </c>
      <c r="C36" s="6">
        <v>0</v>
      </c>
      <c r="D36" s="7">
        <v>0</v>
      </c>
      <c r="E36" s="6">
        <v>0</v>
      </c>
      <c r="F36" s="13"/>
    </row>
    <row r="37" spans="1:6" x14ac:dyDescent="0.3">
      <c r="A37" s="6">
        <v>0</v>
      </c>
      <c r="B37" s="6">
        <v>0</v>
      </c>
      <c r="C37" s="6">
        <v>0</v>
      </c>
      <c r="D37" s="7">
        <v>413</v>
      </c>
      <c r="E37" s="6">
        <v>57820</v>
      </c>
      <c r="F37" s="13"/>
    </row>
    <row r="38" spans="1:6" x14ac:dyDescent="0.3">
      <c r="A38" s="6">
        <v>0</v>
      </c>
      <c r="B38" s="6">
        <v>0</v>
      </c>
      <c r="C38" s="6">
        <v>0</v>
      </c>
      <c r="D38" s="7">
        <v>280</v>
      </c>
      <c r="E38" s="6">
        <v>39200</v>
      </c>
      <c r="F38" s="13"/>
    </row>
    <row r="39" spans="1:6" x14ac:dyDescent="0.3">
      <c r="A39" s="6">
        <v>0</v>
      </c>
      <c r="B39" s="6">
        <v>0</v>
      </c>
      <c r="C39" s="6">
        <v>0</v>
      </c>
      <c r="D39" s="7">
        <v>304</v>
      </c>
      <c r="E39" s="6">
        <v>42560</v>
      </c>
      <c r="F39" s="13"/>
    </row>
    <row r="40" spans="1:6" x14ac:dyDescent="0.3">
      <c r="A40" s="6">
        <v>0</v>
      </c>
      <c r="B40" s="6">
        <v>0</v>
      </c>
      <c r="C40" s="6">
        <v>0</v>
      </c>
      <c r="D40" s="7">
        <v>318</v>
      </c>
      <c r="E40" s="6">
        <v>44520</v>
      </c>
      <c r="F40" s="13"/>
    </row>
    <row r="41" spans="1:6" x14ac:dyDescent="0.3">
      <c r="A41" s="32" t="s">
        <v>14</v>
      </c>
      <c r="B41" s="32"/>
      <c r="C41" s="32"/>
      <c r="D41" s="32"/>
      <c r="E41" s="32"/>
      <c r="F41" s="1"/>
    </row>
    <row r="42" spans="1:6" x14ac:dyDescent="0.3">
      <c r="A42" s="32" t="s">
        <v>15</v>
      </c>
      <c r="B42" s="32"/>
      <c r="C42" s="32"/>
      <c r="D42" s="32"/>
      <c r="E42" s="32"/>
      <c r="F42" s="1"/>
    </row>
    <row r="43" spans="1:6" x14ac:dyDescent="0.3">
      <c r="A43" s="5" t="s">
        <v>2</v>
      </c>
      <c r="B43" s="32" t="s">
        <v>3</v>
      </c>
      <c r="C43" s="32"/>
      <c r="D43" s="32"/>
      <c r="E43" s="32"/>
      <c r="F43" s="1"/>
    </row>
    <row r="44" spans="1:6" x14ac:dyDescent="0.3">
      <c r="A44" s="5"/>
      <c r="B44" s="2" t="s">
        <v>4</v>
      </c>
      <c r="C44" s="2" t="s">
        <v>5</v>
      </c>
      <c r="D44" s="2" t="s">
        <v>6</v>
      </c>
      <c r="E44" s="2" t="s">
        <v>7</v>
      </c>
      <c r="F44" s="1"/>
    </row>
    <row r="45" spans="1:6" x14ac:dyDescent="0.3">
      <c r="A45" s="6">
        <v>0</v>
      </c>
      <c r="B45" s="3">
        <v>0</v>
      </c>
      <c r="C45" s="3">
        <v>0</v>
      </c>
      <c r="D45" s="4">
        <v>290</v>
      </c>
      <c r="E45" s="3">
        <v>40600</v>
      </c>
      <c r="F45" s="12"/>
    </row>
    <row r="46" spans="1:6" x14ac:dyDescent="0.3">
      <c r="A46" s="6">
        <v>0</v>
      </c>
      <c r="B46" s="3">
        <v>0</v>
      </c>
      <c r="C46" s="3">
        <v>0</v>
      </c>
      <c r="D46" s="4">
        <v>0</v>
      </c>
      <c r="E46" s="3">
        <v>0</v>
      </c>
      <c r="F46" s="12"/>
    </row>
    <row r="47" spans="1:6" x14ac:dyDescent="0.3">
      <c r="A47" s="6">
        <v>0</v>
      </c>
      <c r="B47" s="3">
        <v>0</v>
      </c>
      <c r="C47" s="3">
        <v>0</v>
      </c>
      <c r="D47" s="4">
        <v>354</v>
      </c>
      <c r="E47" s="3">
        <v>49560</v>
      </c>
      <c r="F47" s="12"/>
    </row>
    <row r="48" spans="1:6" x14ac:dyDescent="0.3">
      <c r="A48" s="6">
        <v>0</v>
      </c>
      <c r="B48" s="3">
        <v>0</v>
      </c>
      <c r="C48" s="3">
        <v>0</v>
      </c>
      <c r="D48" s="4">
        <v>229</v>
      </c>
      <c r="E48" s="3">
        <v>32060</v>
      </c>
      <c r="F48" s="12"/>
    </row>
    <row r="49" spans="1:6" x14ac:dyDescent="0.3">
      <c r="A49" s="6">
        <v>0</v>
      </c>
      <c r="B49" s="3">
        <v>0</v>
      </c>
      <c r="C49" s="3">
        <v>0</v>
      </c>
      <c r="D49" s="4">
        <v>252</v>
      </c>
      <c r="E49" s="3">
        <v>35280</v>
      </c>
      <c r="F49" s="12"/>
    </row>
    <row r="50" spans="1:6" x14ac:dyDescent="0.3">
      <c r="A50" s="6">
        <v>0</v>
      </c>
      <c r="B50" s="3">
        <v>0</v>
      </c>
      <c r="C50" s="3">
        <v>0</v>
      </c>
      <c r="D50" s="4">
        <v>270</v>
      </c>
      <c r="E50" s="3">
        <v>37800</v>
      </c>
      <c r="F50" s="12"/>
    </row>
  </sheetData>
  <mergeCells count="17">
    <mergeCell ref="H1:L1"/>
    <mergeCell ref="A21:E21"/>
    <mergeCell ref="A22:E22"/>
    <mergeCell ref="B23:E23"/>
    <mergeCell ref="A31:E31"/>
    <mergeCell ref="A1:E1"/>
    <mergeCell ref="B3:E3"/>
    <mergeCell ref="A2:E2"/>
    <mergeCell ref="A11:E11"/>
    <mergeCell ref="A12:E12"/>
    <mergeCell ref="B13:E13"/>
    <mergeCell ref="B33:E33"/>
    <mergeCell ref="A41:E41"/>
    <mergeCell ref="A42:E42"/>
    <mergeCell ref="B43:E43"/>
    <mergeCell ref="K8:L8"/>
    <mergeCell ref="A32:E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7DEF-C6A3-4EF3-BB9C-F52E523C0D1C}">
  <dimension ref="A1:N37"/>
  <sheetViews>
    <sheetView tabSelected="1" zoomScaleNormal="160" workbookViewId="0">
      <selection activeCell="B3" sqref="B3"/>
    </sheetView>
  </sheetViews>
  <sheetFormatPr baseColWidth="10" defaultRowHeight="14.4" x14ac:dyDescent="0.3"/>
  <cols>
    <col min="1" max="1" width="18.109375" bestFit="1" customWidth="1"/>
    <col min="2" max="2" width="12.109375" bestFit="1" customWidth="1"/>
    <col min="3" max="3" width="12.5546875" bestFit="1" customWidth="1"/>
    <col min="4" max="4" width="12.109375" bestFit="1" customWidth="1"/>
    <col min="5" max="5" width="25.33203125" bestFit="1" customWidth="1"/>
    <col min="6" max="6" width="12.33203125" bestFit="1" customWidth="1"/>
    <col min="7" max="9" width="12.109375" bestFit="1" customWidth="1"/>
    <col min="10" max="10" width="16.109375" bestFit="1" customWidth="1"/>
    <col min="11" max="11" width="13.6640625" bestFit="1" customWidth="1"/>
    <col min="12" max="12" width="15.5546875" bestFit="1" customWidth="1"/>
    <col min="13" max="13" width="15" bestFit="1" customWidth="1"/>
    <col min="14" max="14" width="18.109375" bestFit="1" customWidth="1"/>
  </cols>
  <sheetData>
    <row r="1" spans="1:14" x14ac:dyDescent="0.3">
      <c r="A1" s="19" t="s">
        <v>40</v>
      </c>
      <c r="B1" s="19" t="s">
        <v>27</v>
      </c>
      <c r="C1" s="19" t="s">
        <v>28</v>
      </c>
      <c r="D1" s="19" t="s">
        <v>30</v>
      </c>
      <c r="E1" s="19" t="s">
        <v>29</v>
      </c>
      <c r="F1" s="19" t="s">
        <v>31</v>
      </c>
      <c r="G1" s="19" t="s">
        <v>32</v>
      </c>
      <c r="H1" s="19" t="s">
        <v>33</v>
      </c>
      <c r="I1" s="19" t="s">
        <v>34</v>
      </c>
      <c r="J1" s="19" t="s">
        <v>35</v>
      </c>
      <c r="K1" s="19" t="s">
        <v>36</v>
      </c>
      <c r="L1" s="19" t="s">
        <v>37</v>
      </c>
      <c r="M1" s="19" t="s">
        <v>38</v>
      </c>
      <c r="N1" s="19" t="s">
        <v>42</v>
      </c>
    </row>
    <row r="2" spans="1:14" x14ac:dyDescent="0.3">
      <c r="A2" s="19">
        <v>2025</v>
      </c>
      <c r="B2" s="20">
        <f>B17*120</f>
        <v>2162160</v>
      </c>
      <c r="C2" s="20">
        <f t="shared" ref="C2:M2" si="0">C17*120</f>
        <v>951960</v>
      </c>
      <c r="D2" s="20">
        <f t="shared" si="0"/>
        <v>1402920</v>
      </c>
      <c r="E2" s="20">
        <f t="shared" si="0"/>
        <v>2101320</v>
      </c>
      <c r="F2" s="20">
        <f t="shared" si="0"/>
        <v>1674600</v>
      </c>
      <c r="G2" s="20">
        <f t="shared" si="0"/>
        <v>2112840</v>
      </c>
      <c r="H2" s="20">
        <f t="shared" si="0"/>
        <v>1811640</v>
      </c>
      <c r="I2" s="20">
        <f t="shared" si="0"/>
        <v>1575480</v>
      </c>
      <c r="J2" s="20">
        <f t="shared" si="0"/>
        <v>1401000</v>
      </c>
      <c r="K2" s="20">
        <f t="shared" si="0"/>
        <v>2138160</v>
      </c>
      <c r="L2" s="20">
        <f t="shared" si="0"/>
        <v>1535880</v>
      </c>
      <c r="M2" s="20">
        <f t="shared" si="0"/>
        <v>1804560</v>
      </c>
      <c r="N2" s="21">
        <f>SUM(B2:M2)</f>
        <v>20672520</v>
      </c>
    </row>
    <row r="3" spans="1:14" x14ac:dyDescent="0.3">
      <c r="A3" s="19">
        <v>2026</v>
      </c>
      <c r="B3" s="29">
        <v>1829760</v>
      </c>
      <c r="C3" s="29">
        <v>1200360</v>
      </c>
      <c r="D3" s="29">
        <v>1316640</v>
      </c>
      <c r="E3" s="29">
        <v>1662720</v>
      </c>
      <c r="F3" s="29">
        <v>1978340</v>
      </c>
      <c r="G3" s="21">
        <v>1812100</v>
      </c>
      <c r="H3" s="21">
        <v>1812100</v>
      </c>
      <c r="I3" s="21">
        <v>1812100</v>
      </c>
      <c r="J3" s="21">
        <v>1812100</v>
      </c>
      <c r="K3" s="21">
        <v>1812100</v>
      </c>
      <c r="L3" s="21">
        <v>1812100</v>
      </c>
      <c r="M3" s="21">
        <v>1812100</v>
      </c>
      <c r="N3" s="21">
        <f>SUM(B3:M3)</f>
        <v>20672520</v>
      </c>
    </row>
    <row r="4" spans="1:14" x14ac:dyDescent="0.3">
      <c r="A4" s="19" t="s">
        <v>39</v>
      </c>
      <c r="B4" s="20">
        <f>B2-B3</f>
        <v>332400</v>
      </c>
      <c r="C4" s="20">
        <f t="shared" ref="C4:M4" si="1">C2-C3</f>
        <v>-248400</v>
      </c>
      <c r="D4" s="20">
        <f t="shared" si="1"/>
        <v>86280</v>
      </c>
      <c r="E4" s="20">
        <f t="shared" si="1"/>
        <v>438600</v>
      </c>
      <c r="F4" s="20">
        <f t="shared" si="1"/>
        <v>-303740</v>
      </c>
      <c r="G4" s="20">
        <f t="shared" si="1"/>
        <v>300740</v>
      </c>
      <c r="H4" s="20">
        <f t="shared" si="1"/>
        <v>-460</v>
      </c>
      <c r="I4" s="20">
        <f t="shared" si="1"/>
        <v>-236620</v>
      </c>
      <c r="J4" s="20">
        <f t="shared" si="1"/>
        <v>-411100</v>
      </c>
      <c r="K4" s="20">
        <f t="shared" si="1"/>
        <v>326060</v>
      </c>
      <c r="L4" s="20">
        <f t="shared" si="1"/>
        <v>-276220</v>
      </c>
      <c r="M4" s="20">
        <f t="shared" si="1"/>
        <v>-7540</v>
      </c>
      <c r="N4" s="21">
        <f>SUM(B4:M4)</f>
        <v>0</v>
      </c>
    </row>
    <row r="5" spans="1:14" x14ac:dyDescent="0.3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x14ac:dyDescent="0.3">
      <c r="A6" s="19"/>
      <c r="B6" s="22"/>
      <c r="C6" s="19"/>
      <c r="D6" s="19"/>
      <c r="E6" s="26" t="s">
        <v>50</v>
      </c>
      <c r="F6" t="s">
        <v>31</v>
      </c>
      <c r="G6" s="19" t="s">
        <v>32</v>
      </c>
      <c r="H6" s="19" t="s">
        <v>33</v>
      </c>
      <c r="I6" s="19" t="s">
        <v>34</v>
      </c>
      <c r="J6" s="19" t="s">
        <v>35</v>
      </c>
      <c r="K6" s="19" t="s">
        <v>36</v>
      </c>
      <c r="L6" s="19" t="s">
        <v>37</v>
      </c>
      <c r="M6" s="19" t="s">
        <v>38</v>
      </c>
      <c r="N6" s="19" t="s">
        <v>51</v>
      </c>
    </row>
    <row r="7" spans="1:14" x14ac:dyDescent="0.3">
      <c r="A7" s="19"/>
      <c r="B7" s="30"/>
      <c r="C7" s="19"/>
      <c r="D7" s="19"/>
      <c r="E7" s="28" t="s">
        <v>43</v>
      </c>
      <c r="F7" s="8">
        <f t="shared" ref="F7:M7" si="2">F3-F14</f>
        <v>1642301</v>
      </c>
      <c r="G7" s="23">
        <f t="shared" si="2"/>
        <v>1400120</v>
      </c>
      <c r="H7" s="23">
        <f t="shared" si="2"/>
        <v>1450893</v>
      </c>
      <c r="I7" s="23">
        <f t="shared" si="2"/>
        <v>1505154</v>
      </c>
      <c r="J7" s="23">
        <f t="shared" si="2"/>
        <v>1534285</v>
      </c>
      <c r="K7" s="23">
        <f t="shared" si="2"/>
        <v>1395549</v>
      </c>
      <c r="L7" s="23">
        <f t="shared" si="2"/>
        <v>1511794</v>
      </c>
      <c r="M7" s="23">
        <f t="shared" si="2"/>
        <v>1462393</v>
      </c>
      <c r="N7" s="23">
        <f>SUM(G7:M7)</f>
        <v>10260188</v>
      </c>
    </row>
    <row r="8" spans="1:14" x14ac:dyDescent="0.3">
      <c r="A8" s="19"/>
      <c r="B8" s="31"/>
      <c r="C8" s="23"/>
      <c r="D8" s="19"/>
      <c r="E8" s="28" t="s">
        <v>44</v>
      </c>
      <c r="F8" s="8">
        <v>82488</v>
      </c>
      <c r="G8" s="21">
        <v>75194</v>
      </c>
      <c r="H8" s="21">
        <v>93569</v>
      </c>
      <c r="I8" s="21">
        <v>59188</v>
      </c>
      <c r="J8" s="21">
        <v>61712</v>
      </c>
      <c r="K8" s="21">
        <v>89721</v>
      </c>
      <c r="L8" s="21">
        <v>46631</v>
      </c>
      <c r="M8" s="21">
        <v>59650</v>
      </c>
      <c r="N8" s="19"/>
    </row>
    <row r="9" spans="1:14" x14ac:dyDescent="0.3">
      <c r="A9" s="19"/>
      <c r="B9" s="31"/>
      <c r="C9" s="23"/>
      <c r="D9" s="19"/>
      <c r="E9" s="28" t="s">
        <v>45</v>
      </c>
      <c r="F9" s="8">
        <v>48822</v>
      </c>
      <c r="G9" s="21">
        <v>72861</v>
      </c>
      <c r="H9" s="21">
        <v>56383</v>
      </c>
      <c r="I9" s="21">
        <v>61349</v>
      </c>
      <c r="J9" s="21">
        <v>44872</v>
      </c>
      <c r="K9" s="21">
        <v>48213</v>
      </c>
      <c r="L9" s="21">
        <v>59995</v>
      </c>
      <c r="M9" s="21">
        <v>66631</v>
      </c>
      <c r="N9" s="19"/>
    </row>
    <row r="10" spans="1:14" x14ac:dyDescent="0.3">
      <c r="A10" s="19"/>
      <c r="B10" s="30"/>
      <c r="C10" s="23"/>
      <c r="D10" s="19"/>
      <c r="E10" s="28" t="s">
        <v>46</v>
      </c>
      <c r="F10" s="8">
        <v>37621</v>
      </c>
      <c r="G10" s="21">
        <v>74326</v>
      </c>
      <c r="H10" s="21">
        <v>33977</v>
      </c>
      <c r="I10" s="21">
        <v>60365</v>
      </c>
      <c r="J10" s="21">
        <v>34813</v>
      </c>
      <c r="K10" s="21">
        <v>76159</v>
      </c>
      <c r="L10" s="21">
        <v>34634</v>
      </c>
      <c r="M10" s="21">
        <v>55307</v>
      </c>
      <c r="N10" s="19"/>
    </row>
    <row r="11" spans="1:14" x14ac:dyDescent="0.3">
      <c r="A11" s="19"/>
      <c r="B11" s="22"/>
      <c r="C11" s="19"/>
      <c r="D11" s="19"/>
      <c r="E11" s="28" t="s">
        <v>47</v>
      </c>
      <c r="F11" s="8">
        <v>52558</v>
      </c>
      <c r="G11" s="21">
        <v>66957</v>
      </c>
      <c r="H11" s="21">
        <v>64269</v>
      </c>
      <c r="I11" s="21">
        <v>53494</v>
      </c>
      <c r="J11" s="21">
        <v>56402</v>
      </c>
      <c r="K11" s="21">
        <v>73490</v>
      </c>
      <c r="L11" s="21">
        <v>63253</v>
      </c>
      <c r="M11" s="21">
        <v>54331</v>
      </c>
      <c r="N11" s="19"/>
    </row>
    <row r="12" spans="1:14" x14ac:dyDescent="0.3">
      <c r="A12" s="19"/>
      <c r="B12" s="22"/>
      <c r="C12" s="19"/>
      <c r="D12" s="19"/>
      <c r="E12" s="28" t="s">
        <v>48</v>
      </c>
      <c r="F12" s="8">
        <v>55413</v>
      </c>
      <c r="G12" s="21">
        <v>66755</v>
      </c>
      <c r="H12" s="21">
        <v>42970</v>
      </c>
      <c r="I12" s="21">
        <v>50024</v>
      </c>
      <c r="J12" s="21">
        <v>49996</v>
      </c>
      <c r="K12" s="21">
        <v>51999</v>
      </c>
      <c r="L12" s="21">
        <v>59995</v>
      </c>
      <c r="M12" s="21">
        <v>44945</v>
      </c>
      <c r="N12" s="19"/>
    </row>
    <row r="13" spans="1:14" x14ac:dyDescent="0.3">
      <c r="A13" s="19"/>
      <c r="B13" s="22"/>
      <c r="C13" s="19"/>
      <c r="D13" s="19"/>
      <c r="E13" s="28" t="s">
        <v>49</v>
      </c>
      <c r="F13" s="8">
        <v>59137</v>
      </c>
      <c r="G13" s="21">
        <v>55887</v>
      </c>
      <c r="H13" s="21">
        <v>70039</v>
      </c>
      <c r="I13" s="21">
        <v>22526</v>
      </c>
      <c r="J13" s="21">
        <v>30020</v>
      </c>
      <c r="K13" s="21">
        <v>76969</v>
      </c>
      <c r="L13" s="21">
        <v>35798</v>
      </c>
      <c r="M13" s="21">
        <v>68843</v>
      </c>
      <c r="N13" s="19"/>
    </row>
    <row r="14" spans="1:14" x14ac:dyDescent="0.3">
      <c r="A14" s="19"/>
      <c r="B14" s="22"/>
      <c r="C14" s="19"/>
      <c r="D14" s="19"/>
      <c r="E14" s="28" t="s">
        <v>52</v>
      </c>
      <c r="F14" s="21">
        <f t="shared" ref="F14:M14" si="3">SUM(F8:F13)</f>
        <v>336039</v>
      </c>
      <c r="G14" s="21">
        <f t="shared" si="3"/>
        <v>411980</v>
      </c>
      <c r="H14" s="21">
        <f t="shared" si="3"/>
        <v>361207</v>
      </c>
      <c r="I14" s="21">
        <f t="shared" si="3"/>
        <v>306946</v>
      </c>
      <c r="J14" s="21">
        <f t="shared" si="3"/>
        <v>277815</v>
      </c>
      <c r="K14" s="21">
        <f t="shared" si="3"/>
        <v>416551</v>
      </c>
      <c r="L14" s="21">
        <f t="shared" si="3"/>
        <v>300306</v>
      </c>
      <c r="M14" s="21">
        <f t="shared" si="3"/>
        <v>349707</v>
      </c>
      <c r="N14" s="19"/>
    </row>
    <row r="15" spans="1:14" x14ac:dyDescent="0.3">
      <c r="A15" s="19"/>
      <c r="B15" s="22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x14ac:dyDescent="0.3">
      <c r="A16" s="19" t="s">
        <v>40</v>
      </c>
      <c r="B16" s="23" t="s">
        <v>27</v>
      </c>
      <c r="C16" s="19" t="s">
        <v>28</v>
      </c>
      <c r="D16" s="19" t="s">
        <v>30</v>
      </c>
      <c r="E16" s="23" t="s">
        <v>29</v>
      </c>
      <c r="F16" s="19" t="s">
        <v>31</v>
      </c>
      <c r="G16" s="19" t="s">
        <v>32</v>
      </c>
      <c r="H16" s="23" t="s">
        <v>33</v>
      </c>
      <c r="I16" s="19" t="s">
        <v>34</v>
      </c>
      <c r="J16" s="19" t="s">
        <v>35</v>
      </c>
      <c r="K16" s="23" t="s">
        <v>36</v>
      </c>
      <c r="L16" s="19" t="s">
        <v>37</v>
      </c>
      <c r="M16" s="19" t="s">
        <v>38</v>
      </c>
      <c r="N16" s="19" t="s">
        <v>41</v>
      </c>
    </row>
    <row r="17" spans="1:14" x14ac:dyDescent="0.3">
      <c r="A17" s="19">
        <v>2025</v>
      </c>
      <c r="B17" s="24">
        <v>18018</v>
      </c>
      <c r="C17" s="24">
        <v>7933</v>
      </c>
      <c r="D17" s="24">
        <v>11691</v>
      </c>
      <c r="E17" s="24">
        <v>17511</v>
      </c>
      <c r="F17" s="24">
        <v>13955</v>
      </c>
      <c r="G17" s="24">
        <v>17607</v>
      </c>
      <c r="H17" s="24">
        <v>15097</v>
      </c>
      <c r="I17" s="24">
        <v>13129</v>
      </c>
      <c r="J17" s="24">
        <v>11675</v>
      </c>
      <c r="K17" s="24">
        <v>17818</v>
      </c>
      <c r="L17" s="24">
        <v>12799</v>
      </c>
      <c r="M17" s="24">
        <v>15038</v>
      </c>
      <c r="N17" s="25">
        <f>SUM(B17:M17)</f>
        <v>172271</v>
      </c>
    </row>
    <row r="18" spans="1:14" x14ac:dyDescent="0.3">
      <c r="A18" s="19">
        <v>2026</v>
      </c>
      <c r="B18" s="24">
        <v>11038</v>
      </c>
      <c r="C18" s="24">
        <v>8587</v>
      </c>
      <c r="D18" s="24">
        <v>15019</v>
      </c>
      <c r="E18" s="24">
        <v>7961</v>
      </c>
      <c r="F18" s="24">
        <v>9500</v>
      </c>
      <c r="G18" s="24">
        <v>17166.57143</v>
      </c>
      <c r="H18" s="24">
        <v>17166.57143</v>
      </c>
      <c r="I18" s="24">
        <v>17166.57143</v>
      </c>
      <c r="J18" s="24">
        <v>17166.57143</v>
      </c>
      <c r="K18" s="24">
        <v>17166.57143</v>
      </c>
      <c r="L18" s="24">
        <v>17166.57143</v>
      </c>
      <c r="M18" s="24">
        <v>17166.57143</v>
      </c>
      <c r="N18" s="25">
        <f>SUM(B18:M18)</f>
        <v>172271.00001000002</v>
      </c>
    </row>
    <row r="19" spans="1:14" x14ac:dyDescent="0.3">
      <c r="A19" s="19" t="s">
        <v>39</v>
      </c>
      <c r="B19" s="24">
        <f>B17-B18</f>
        <v>6980</v>
      </c>
      <c r="C19" s="24">
        <f t="shared" ref="C19:M19" si="4">C17-C18</f>
        <v>-654</v>
      </c>
      <c r="D19" s="24">
        <f t="shared" si="4"/>
        <v>-3328</v>
      </c>
      <c r="E19" s="24">
        <f t="shared" si="4"/>
        <v>9550</v>
      </c>
      <c r="F19" s="24">
        <f t="shared" si="4"/>
        <v>4455</v>
      </c>
      <c r="G19" s="24">
        <f t="shared" si="4"/>
        <v>440.42857000000004</v>
      </c>
      <c r="H19" s="24">
        <f t="shared" si="4"/>
        <v>-2069.57143</v>
      </c>
      <c r="I19" s="24">
        <f t="shared" si="4"/>
        <v>-4037.57143</v>
      </c>
      <c r="J19" s="24">
        <f t="shared" si="4"/>
        <v>-5491.57143</v>
      </c>
      <c r="K19" s="24">
        <f t="shared" si="4"/>
        <v>651.42857000000004</v>
      </c>
      <c r="L19" s="24">
        <f t="shared" si="4"/>
        <v>-4367.57143</v>
      </c>
      <c r="M19" s="24">
        <f t="shared" si="4"/>
        <v>-2128.57143</v>
      </c>
      <c r="N19" s="24">
        <f>N17-N18</f>
        <v>-1.0000017937272787E-5</v>
      </c>
    </row>
    <row r="37" spans="7:7" x14ac:dyDescent="0.3">
      <c r="G37">
        <f>1900*5</f>
        <v>9500</v>
      </c>
    </row>
  </sheetData>
  <phoneticPr fontId="5" type="noConversion"/>
  <pageMargins left="0.7" right="0.7" top="0.75" bottom="0.75" header="0.3" footer="0.3"/>
  <ignoredErrors>
    <ignoredError sqref="F14" formulaRange="1"/>
  </ignoredErrors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6078-60DE-4051-8A20-5CA74B8F6FC5}">
  <dimension ref="B3:G3"/>
  <sheetViews>
    <sheetView workbookViewId="0">
      <selection activeCell="B3" sqref="B3:G3"/>
    </sheetView>
  </sheetViews>
  <sheetFormatPr baseColWidth="10" defaultRowHeight="14.4" x14ac:dyDescent="0.3"/>
  <sheetData>
    <row r="3" spans="2:7" x14ac:dyDescent="0.3">
      <c r="B3" s="27">
        <v>93568.831168831166</v>
      </c>
      <c r="C3" s="27">
        <v>56383.428571428565</v>
      </c>
      <c r="D3" s="27">
        <v>33976.638655462179</v>
      </c>
      <c r="E3" s="27">
        <v>64268.823529411769</v>
      </c>
      <c r="F3" s="27">
        <v>42970.357142857138</v>
      </c>
      <c r="G3" s="27">
        <v>70039.142857142855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Gonzalez Jara</dc:creator>
  <cp:lastModifiedBy>Valery Chaparro Navarro</cp:lastModifiedBy>
  <dcterms:created xsi:type="dcterms:W3CDTF">2026-05-20T12:26:50Z</dcterms:created>
  <dcterms:modified xsi:type="dcterms:W3CDTF">2026-05-28T15:15:02Z</dcterms:modified>
</cp:coreProperties>
</file>