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10df13283149440/Equipo_transformacion_digital_2/2.- El Roble - Coca Cola/Planificación Logistica/"/>
    </mc:Choice>
  </mc:AlternateContent>
  <xr:revisionPtr revIDLastSave="10" documentId="13_ncr:1_{976DB932-843B-4675-AD69-8E10EC406A2E}" xr6:coauthVersionLast="47" xr6:coauthVersionMax="47" xr10:uidLastSave="{11F34BCA-B00E-4DBE-82B4-BAC231AA1304}"/>
  <bookViews>
    <workbookView xWindow="-108" yWindow="-108" windowWidth="23256" windowHeight="12456" firstSheet="1" activeTab="5" xr2:uid="{00000000-000D-0000-FFFF-FFFF00000000}"/>
  </bookViews>
  <sheets>
    <sheet name="Resumen" sheetId="1" r:id="rId1"/>
    <sheet name="Carlos Acevedo" sheetId="2" r:id="rId2"/>
    <sheet name="Mauricio Picart" sheetId="3" r:id="rId3"/>
    <sheet name="Pablo Villarroel" sheetId="4" r:id="rId4"/>
    <sheet name="Samuel Inostroza" sheetId="5" r:id="rId5"/>
    <sheet name="Cristian Lizam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6" l="1"/>
  <c r="E24" i="5"/>
  <c r="E24" i="4"/>
  <c r="E24" i="3"/>
  <c r="E24" i="2"/>
  <c r="D24" i="6"/>
  <c r="D25" i="6" s="1"/>
  <c r="B3" i="6"/>
  <c r="D3" i="6" s="1"/>
  <c r="D24" i="5"/>
  <c r="D25" i="5" s="1"/>
  <c r="B3" i="5"/>
  <c r="D3" i="5" s="1"/>
  <c r="D24" i="4"/>
  <c r="D25" i="4" s="1"/>
  <c r="B3" i="4"/>
  <c r="D3" i="4" s="1"/>
  <c r="D24" i="3"/>
  <c r="D25" i="3" s="1"/>
  <c r="B3" i="3"/>
  <c r="D3" i="3" s="1"/>
  <c r="D24" i="2"/>
  <c r="D25" i="2" s="1"/>
  <c r="B3" i="2"/>
  <c r="D3" i="2" s="1"/>
</calcChain>
</file>

<file path=xl/sharedStrings.xml><?xml version="1.0" encoding="utf-8"?>
<sst xmlns="http://schemas.openxmlformats.org/spreadsheetml/2006/main" count="280" uniqueCount="129">
  <si>
    <t>Planificación mensual de rutas - Mayo 2026</t>
  </si>
  <si>
    <t>Periodo</t>
  </si>
  <si>
    <t>Días hábiles usados</t>
  </si>
  <si>
    <t>Límite mensual km</t>
  </si>
  <si>
    <t>Auditor</t>
  </si>
  <si>
    <t>Rutas planificadas</t>
  </si>
  <si>
    <t>Km planificados</t>
  </si>
  <si>
    <t>Cumple límite</t>
  </si>
  <si>
    <t>Km disponibles</t>
  </si>
  <si>
    <t>Carlos Acevedo</t>
  </si>
  <si>
    <t>Sí</t>
  </si>
  <si>
    <t>Mauricio Picart</t>
  </si>
  <si>
    <t>Pablo Villarroel</t>
  </si>
  <si>
    <t>Samuel Inostroza</t>
  </si>
  <si>
    <t>Cristian Lizama</t>
  </si>
  <si>
    <t>Planificación mensual - Carlos Acevedo</t>
  </si>
  <si>
    <t>Tope mensual km</t>
  </si>
  <si>
    <t>Día</t>
  </si>
  <si>
    <t>Fecha</t>
  </si>
  <si>
    <t>Ruta</t>
  </si>
  <si>
    <t>KLM</t>
  </si>
  <si>
    <t>Lunes</t>
  </si>
  <si>
    <t>Mall Plaza Talca</t>
  </si>
  <si>
    <t>Martes</t>
  </si>
  <si>
    <t>Duao Quiñipeumo</t>
  </si>
  <si>
    <t>Miércoles</t>
  </si>
  <si>
    <t>Queri Callejones</t>
  </si>
  <si>
    <t>Jueves</t>
  </si>
  <si>
    <t>Corinto Gualleco</t>
  </si>
  <si>
    <t>Viernes</t>
  </si>
  <si>
    <t>Villa Francia</t>
  </si>
  <si>
    <t>Nueva Holanda</t>
  </si>
  <si>
    <t>Universidad de Talca</t>
  </si>
  <si>
    <t>Población Yerbas Buenas</t>
  </si>
  <si>
    <t>Pencahue Batuco</t>
  </si>
  <si>
    <t>Población Emilio Gidi</t>
  </si>
  <si>
    <t>Mercado Central</t>
  </si>
  <si>
    <t>Cooperativa Lircay</t>
  </si>
  <si>
    <t>Centro Oriente</t>
  </si>
  <si>
    <t>Talca Centro</t>
  </si>
  <si>
    <t>Las Colines</t>
  </si>
  <si>
    <t>Cumpeo</t>
  </si>
  <si>
    <t>San Gerardo</t>
  </si>
  <si>
    <t>Abate Molina</t>
  </si>
  <si>
    <t>Los Conquistadores</t>
  </si>
  <si>
    <t>Total mensual</t>
  </si>
  <si>
    <t>Planificación mensual - Mauricio Picart</t>
  </si>
  <si>
    <t>Maule</t>
  </si>
  <si>
    <t>Orilla de Maule</t>
  </si>
  <si>
    <t>Las Rastras</t>
  </si>
  <si>
    <t>Camino San Clemente</t>
  </si>
  <si>
    <t>Carlos Trupp</t>
  </si>
  <si>
    <t>Villa Eden - Independencia</t>
  </si>
  <si>
    <t>Galilea - Doña Ignacia</t>
  </si>
  <si>
    <t>San Maximo</t>
  </si>
  <si>
    <t>Colin</t>
  </si>
  <si>
    <t>San Rafael</t>
  </si>
  <si>
    <t>Doña Ignacia - Villa Ecuador</t>
  </si>
  <si>
    <t>El Colorado</t>
  </si>
  <si>
    <t>J. Flor del Este</t>
  </si>
  <si>
    <t>Doña Consuelo</t>
  </si>
  <si>
    <t>Magisterio</t>
  </si>
  <si>
    <t>Camarico</t>
  </si>
  <si>
    <t>San Luis</t>
  </si>
  <si>
    <t>Centro Poniente</t>
  </si>
  <si>
    <t>Jardin del Valle</t>
  </si>
  <si>
    <t>Planificación mensual - Pablo Villarroel</t>
  </si>
  <si>
    <t>Rembrand</t>
  </si>
  <si>
    <t>Balmaceda</t>
  </si>
  <si>
    <t>Pelarco</t>
  </si>
  <si>
    <t>Panguilemo</t>
  </si>
  <si>
    <t>Linares: Salida Cuellar</t>
  </si>
  <si>
    <t>La Florida</t>
  </si>
  <si>
    <t>Linares: Obispo Camus - Yerbas Buenas</t>
  </si>
  <si>
    <t>Linares: San Antonio</t>
  </si>
  <si>
    <t>Don Sebastian</t>
  </si>
  <si>
    <t>Padre Hurtado</t>
  </si>
  <si>
    <t>Independencia</t>
  </si>
  <si>
    <t>Galilea</t>
  </si>
  <si>
    <t>Av. Lircay</t>
  </si>
  <si>
    <t>Brilla el Sol</t>
  </si>
  <si>
    <t>Linares: Pob. La 35</t>
  </si>
  <si>
    <t>Oriente Talca</t>
  </si>
  <si>
    <t>El Tabaco</t>
  </si>
  <si>
    <t>Estación</t>
  </si>
  <si>
    <t>Planificación mensual - Samuel Inostroza</t>
  </si>
  <si>
    <t>Los Niches</t>
  </si>
  <si>
    <t>Hualañe</t>
  </si>
  <si>
    <t>Feria - Mall - Terminal</t>
  </si>
  <si>
    <t>Centro Plaza</t>
  </si>
  <si>
    <t>Sol de Septiembre - Manuel Rodríguez</t>
  </si>
  <si>
    <t>Romeral - Los Guaicos</t>
  </si>
  <si>
    <t>Bombero Garrido - Vaticano</t>
  </si>
  <si>
    <t>Rauco - Comalle</t>
  </si>
  <si>
    <t>Guaiquillo - Aguas Negras</t>
  </si>
  <si>
    <t>Centro Norte</t>
  </si>
  <si>
    <t>Hospital - Alameda - Mataquito</t>
  </si>
  <si>
    <t>Molina Centro Porvenir</t>
  </si>
  <si>
    <t>Aguas Negras</t>
  </si>
  <si>
    <t>Lontue - Sagrada Familia</t>
  </si>
  <si>
    <t>Santa Fe</t>
  </si>
  <si>
    <t>Itahue Molina Estación</t>
  </si>
  <si>
    <t>El Boldo</t>
  </si>
  <si>
    <t>Teno - Arboleda</t>
  </si>
  <si>
    <t>Planificación mensual - Cristian Lizama</t>
  </si>
  <si>
    <t>AUQUINCO - PUJILLAY</t>
  </si>
  <si>
    <t>ROMA - MIRAFLORES -POLONIA</t>
  </si>
  <si>
    <t>ANGOSTURA -  18 DE SEPTIEMBRE</t>
  </si>
  <si>
    <t>CHIMBARONGO NORTE -CENTRO</t>
  </si>
  <si>
    <t>CHIMBARONGO SUR</t>
  </si>
  <si>
    <t>PLACILLA</t>
  </si>
  <si>
    <t>CHEPICA - QUINAHUE</t>
  </si>
  <si>
    <t>CHIMBARONGO CENTRO PTE.</t>
  </si>
  <si>
    <t>NANCAGUA - SAN GREGORIO</t>
  </si>
  <si>
    <t>PUENTE NEGRO - AGUA BUENA</t>
  </si>
  <si>
    <t>NANCAGUA -CENTRO</t>
  </si>
  <si>
    <t>CODEGUA - PEOR ES NADA</t>
  </si>
  <si>
    <t>CALLEJONES - NANCAGUA</t>
  </si>
  <si>
    <t>CHIMBARONGO NORTE</t>
  </si>
  <si>
    <t>CHIMBARONGO  CENTRO</t>
  </si>
  <si>
    <t>CHEPICA - LAS ALAMEDAS</t>
  </si>
  <si>
    <t>CUNACO- CRUCE</t>
  </si>
  <si>
    <t>CHEPICA</t>
  </si>
  <si>
    <t>EL HHUIQUE - PERALILLO</t>
  </si>
  <si>
    <t>Mayo</t>
  </si>
  <si>
    <t>Rutas Asignadas</t>
  </si>
  <si>
    <t>Clientes (Minimos)</t>
  </si>
  <si>
    <t>La Huerta Parquibudi</t>
  </si>
  <si>
    <t>no tiene antigüedad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</si>
</sst>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dd\-mm\-yyyy"/>
  </numFmts>
  <fonts count="6">
    <font>
      <sz val="11"/>
      <name val="Carlito"/>
    </font>
    <font>
      <b/>
      <sz val="16"/>
      <color rgb="FF1F2937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5"/>
      <color rgb="FF1F2937"/>
      <name val="Calibri"/>
      <family val="2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DDEBF7"/>
      </patternFill>
    </fill>
  </fills>
  <borders count="1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41">
    <xf numFmtId="0" fontId="0" fillId="0" borderId="0" xfId="0"/>
    <xf numFmtId="0" fontId="2" fillId="4" borderId="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" fontId="2" fillId="4" borderId="12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42" fontId="0" fillId="0" borderId="0" xfId="1" applyFont="1"/>
    <xf numFmtId="42" fontId="0" fillId="0" borderId="0" xfId="0" applyNumberForma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90" zoomScaleNormal="190" workbookViewId="0">
      <selection activeCell="B13" sqref="B13"/>
    </sheetView>
  </sheetViews>
  <sheetFormatPr baseColWidth="10" defaultColWidth="9" defaultRowHeight="13.8"/>
  <cols>
    <col min="1" max="1" width="24" customWidth="1"/>
    <col min="2" max="6" width="18" customWidth="1"/>
  </cols>
  <sheetData>
    <row r="1" spans="1:6" ht="21">
      <c r="A1" s="39" t="s">
        <v>0</v>
      </c>
      <c r="B1" s="39"/>
      <c r="C1" s="39"/>
      <c r="D1" s="39"/>
      <c r="E1" s="39"/>
      <c r="F1" s="39"/>
    </row>
    <row r="2" spans="1:6" ht="14.4">
      <c r="A2" s="18" t="s">
        <v>1</v>
      </c>
      <c r="B2" s="19" t="s">
        <v>124</v>
      </c>
      <c r="C2" s="19" t="s">
        <v>2</v>
      </c>
      <c r="D2" s="19">
        <v>20</v>
      </c>
      <c r="E2" s="19" t="s">
        <v>3</v>
      </c>
      <c r="F2" s="20">
        <v>1900</v>
      </c>
    </row>
    <row r="3" spans="1:6">
      <c r="A3" s="17"/>
      <c r="B3" s="17"/>
      <c r="C3" s="17"/>
      <c r="D3" s="17"/>
      <c r="E3" s="17"/>
      <c r="F3" s="17"/>
    </row>
    <row r="4" spans="1:6" ht="14.4">
      <c r="A4" s="1" t="s">
        <v>4</v>
      </c>
      <c r="B4" s="1" t="s">
        <v>125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14.4">
      <c r="A5" s="21" t="s">
        <v>9</v>
      </c>
      <c r="B5" s="21">
        <v>48</v>
      </c>
      <c r="C5" s="21">
        <v>20</v>
      </c>
      <c r="D5" s="22">
        <v>1900</v>
      </c>
      <c r="E5" s="22" t="s">
        <v>10</v>
      </c>
      <c r="F5" s="22">
        <v>0</v>
      </c>
    </row>
    <row r="6" spans="1:6" ht="14.4">
      <c r="A6" s="21" t="s">
        <v>11</v>
      </c>
      <c r="B6" s="21">
        <v>43</v>
      </c>
      <c r="C6" s="21">
        <v>20</v>
      </c>
      <c r="D6" s="22">
        <v>1900</v>
      </c>
      <c r="E6" s="22" t="s">
        <v>10</v>
      </c>
      <c r="F6" s="22">
        <v>0</v>
      </c>
    </row>
    <row r="7" spans="1:6" ht="14.4">
      <c r="A7" s="21" t="s">
        <v>12</v>
      </c>
      <c r="B7" s="21">
        <v>39</v>
      </c>
      <c r="C7" s="21">
        <v>20</v>
      </c>
      <c r="D7" s="22">
        <v>1900</v>
      </c>
      <c r="E7" s="22" t="s">
        <v>10</v>
      </c>
      <c r="F7" s="22">
        <v>0</v>
      </c>
    </row>
    <row r="8" spans="1:6" ht="14.4">
      <c r="A8" s="21" t="s">
        <v>13</v>
      </c>
      <c r="B8" s="21">
        <v>31</v>
      </c>
      <c r="C8" s="21">
        <v>20</v>
      </c>
      <c r="D8" s="22">
        <v>1900</v>
      </c>
      <c r="E8" s="22" t="s">
        <v>10</v>
      </c>
      <c r="F8" s="22">
        <v>0</v>
      </c>
    </row>
    <row r="9" spans="1:6" ht="14.4">
      <c r="A9" s="21" t="s">
        <v>14</v>
      </c>
      <c r="B9" s="21">
        <v>54</v>
      </c>
      <c r="C9" s="21">
        <v>20</v>
      </c>
      <c r="D9" s="22">
        <v>1900</v>
      </c>
      <c r="E9" s="22" t="s">
        <v>10</v>
      </c>
      <c r="F9" s="22"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77" zoomScaleNormal="175" workbookViewId="0">
      <selection activeCell="I23" sqref="I23"/>
    </sheetView>
  </sheetViews>
  <sheetFormatPr baseColWidth="10" defaultColWidth="9" defaultRowHeight="13.8"/>
  <cols>
    <col min="1" max="1" width="14" style="17" customWidth="1"/>
    <col min="2" max="2" width="18.8984375" style="17" bestFit="1" customWidth="1"/>
    <col min="3" max="3" width="38" style="17" customWidth="1"/>
    <col min="4" max="4" width="10" style="17" customWidth="1"/>
    <col min="5" max="5" width="16" style="17" hidden="1" customWidth="1"/>
    <col min="6" max="6" width="6" bestFit="1" customWidth="1"/>
    <col min="7" max="8" width="3.19921875" customWidth="1"/>
    <col min="11" max="11" width="9.59765625" bestFit="1" customWidth="1"/>
    <col min="12" max="12" width="12.09765625" bestFit="1" customWidth="1"/>
  </cols>
  <sheetData>
    <row r="1" spans="1:12" ht="19.8">
      <c r="A1" s="40" t="s">
        <v>15</v>
      </c>
      <c r="B1" s="40"/>
      <c r="C1" s="40"/>
      <c r="D1" s="40"/>
      <c r="E1" s="40"/>
    </row>
    <row r="2" spans="1:12">
      <c r="A2" s="4" t="s">
        <v>1</v>
      </c>
      <c r="B2" s="5" t="s">
        <v>124</v>
      </c>
      <c r="C2" s="5" t="s">
        <v>16</v>
      </c>
      <c r="D2" s="6">
        <v>1900</v>
      </c>
      <c r="E2" s="7"/>
    </row>
    <row r="3" spans="1:12">
      <c r="A3" s="8" t="s">
        <v>6</v>
      </c>
      <c r="B3" s="9">
        <f>SUM(D5:D23)</f>
        <v>1850</v>
      </c>
      <c r="C3" s="9" t="s">
        <v>8</v>
      </c>
      <c r="D3" s="10">
        <f>D2-B3</f>
        <v>50</v>
      </c>
      <c r="E3" s="11"/>
    </row>
    <row r="4" spans="1:12">
      <c r="A4" s="2" t="s">
        <v>17</v>
      </c>
      <c r="B4" s="2" t="s">
        <v>18</v>
      </c>
      <c r="C4" s="2" t="s">
        <v>19</v>
      </c>
      <c r="D4" s="3" t="s">
        <v>20</v>
      </c>
      <c r="E4" s="2" t="s">
        <v>126</v>
      </c>
      <c r="K4" s="36"/>
      <c r="L4" s="37"/>
    </row>
    <row r="5" spans="1:12">
      <c r="A5" s="12" t="s">
        <v>21</v>
      </c>
      <c r="B5" s="13">
        <v>46146</v>
      </c>
      <c r="C5" s="12" t="s">
        <v>22</v>
      </c>
      <c r="D5" s="14">
        <v>60</v>
      </c>
      <c r="E5" s="12">
        <v>15</v>
      </c>
    </row>
    <row r="6" spans="1:12">
      <c r="A6" s="12" t="s">
        <v>23</v>
      </c>
      <c r="B6" s="13">
        <v>46147</v>
      </c>
      <c r="C6" s="12" t="s">
        <v>24</v>
      </c>
      <c r="D6" s="14">
        <v>130</v>
      </c>
      <c r="E6" s="12">
        <v>15</v>
      </c>
    </row>
    <row r="7" spans="1:12">
      <c r="A7" s="12" t="s">
        <v>25</v>
      </c>
      <c r="B7" s="13">
        <v>46148</v>
      </c>
      <c r="C7" s="12" t="s">
        <v>26</v>
      </c>
      <c r="D7" s="14">
        <v>130</v>
      </c>
      <c r="E7" s="12">
        <v>15</v>
      </c>
    </row>
    <row r="8" spans="1:12">
      <c r="A8" s="12" t="s">
        <v>27</v>
      </c>
      <c r="B8" s="13">
        <v>46149</v>
      </c>
      <c r="C8" s="12" t="s">
        <v>28</v>
      </c>
      <c r="D8" s="14">
        <v>140</v>
      </c>
      <c r="E8" s="12">
        <v>15</v>
      </c>
    </row>
    <row r="9" spans="1:12">
      <c r="A9" s="12" t="s">
        <v>29</v>
      </c>
      <c r="B9" s="13">
        <v>46150</v>
      </c>
      <c r="C9" s="12" t="s">
        <v>30</v>
      </c>
      <c r="D9" s="14">
        <v>65</v>
      </c>
      <c r="E9" s="12">
        <v>15</v>
      </c>
    </row>
    <row r="10" spans="1:12">
      <c r="A10" s="12" t="s">
        <v>21</v>
      </c>
      <c r="B10" s="13">
        <v>46153</v>
      </c>
      <c r="C10" s="12" t="s">
        <v>31</v>
      </c>
      <c r="D10" s="14">
        <v>60</v>
      </c>
      <c r="E10" s="12">
        <v>15</v>
      </c>
    </row>
    <row r="11" spans="1:12">
      <c r="A11" s="12" t="s">
        <v>23</v>
      </c>
      <c r="B11" s="13">
        <v>46154</v>
      </c>
      <c r="C11" s="12" t="s">
        <v>32</v>
      </c>
      <c r="D11" s="14">
        <v>55</v>
      </c>
      <c r="E11" s="12">
        <v>15</v>
      </c>
    </row>
    <row r="12" spans="1:12">
      <c r="A12" s="12" t="s">
        <v>25</v>
      </c>
      <c r="B12" s="13">
        <v>46155</v>
      </c>
      <c r="C12" s="12" t="s">
        <v>33</v>
      </c>
      <c r="D12" s="14">
        <v>160</v>
      </c>
      <c r="E12" s="12">
        <v>15</v>
      </c>
    </row>
    <row r="13" spans="1:12">
      <c r="A13" s="12" t="s">
        <v>27</v>
      </c>
      <c r="B13" s="13">
        <v>46156</v>
      </c>
      <c r="C13" s="12" t="s">
        <v>34</v>
      </c>
      <c r="D13" s="14">
        <v>140</v>
      </c>
      <c r="E13" s="12">
        <v>15</v>
      </c>
    </row>
    <row r="14" spans="1:12">
      <c r="A14" s="12" t="s">
        <v>29</v>
      </c>
      <c r="B14" s="13">
        <v>46157</v>
      </c>
      <c r="C14" s="12" t="s">
        <v>35</v>
      </c>
      <c r="D14" s="14">
        <v>160</v>
      </c>
      <c r="E14" s="12">
        <v>15</v>
      </c>
    </row>
    <row r="15" spans="1:12">
      <c r="A15" s="12" t="s">
        <v>21</v>
      </c>
      <c r="B15" s="13">
        <v>46160</v>
      </c>
      <c r="C15" s="12" t="s">
        <v>36</v>
      </c>
      <c r="D15" s="14">
        <v>60</v>
      </c>
      <c r="E15" s="12">
        <v>15</v>
      </c>
    </row>
    <row r="16" spans="1:12">
      <c r="A16" s="12" t="s">
        <v>23</v>
      </c>
      <c r="B16" s="13">
        <v>46161</v>
      </c>
      <c r="C16" s="12" t="s">
        <v>37</v>
      </c>
      <c r="D16" s="14">
        <v>60</v>
      </c>
      <c r="E16" s="12">
        <v>15</v>
      </c>
    </row>
    <row r="17" spans="1:6">
      <c r="A17" s="12" t="s">
        <v>25</v>
      </c>
      <c r="B17" s="13">
        <v>46162</v>
      </c>
      <c r="C17" s="12" t="s">
        <v>38</v>
      </c>
      <c r="D17" s="14">
        <v>65</v>
      </c>
      <c r="E17" s="12">
        <v>15</v>
      </c>
    </row>
    <row r="18" spans="1:6">
      <c r="A18" s="12" t="s">
        <v>29</v>
      </c>
      <c r="B18" s="13">
        <v>46164</v>
      </c>
      <c r="C18" s="12" t="s">
        <v>39</v>
      </c>
      <c r="D18" s="14">
        <v>65</v>
      </c>
      <c r="E18" s="12">
        <v>15</v>
      </c>
    </row>
    <row r="19" spans="1:6">
      <c r="A19" s="12" t="s">
        <v>21</v>
      </c>
      <c r="B19" s="13">
        <v>46167</v>
      </c>
      <c r="C19" s="12" t="s">
        <v>40</v>
      </c>
      <c r="D19" s="14">
        <v>65</v>
      </c>
      <c r="E19" s="12">
        <v>15</v>
      </c>
    </row>
    <row r="20" spans="1:6">
      <c r="A20" s="12" t="s">
        <v>23</v>
      </c>
      <c r="B20" s="13">
        <v>46168</v>
      </c>
      <c r="C20" s="12" t="s">
        <v>41</v>
      </c>
      <c r="D20" s="14">
        <v>160</v>
      </c>
      <c r="E20" s="12">
        <v>15</v>
      </c>
    </row>
    <row r="21" spans="1:6">
      <c r="A21" s="12" t="s">
        <v>25</v>
      </c>
      <c r="B21" s="13">
        <v>46169</v>
      </c>
      <c r="C21" s="12" t="s">
        <v>42</v>
      </c>
      <c r="D21" s="14">
        <v>160</v>
      </c>
      <c r="E21" s="12">
        <v>15</v>
      </c>
    </row>
    <row r="22" spans="1:6">
      <c r="A22" s="12" t="s">
        <v>27</v>
      </c>
      <c r="B22" s="13">
        <v>46170</v>
      </c>
      <c r="C22" s="12" t="s">
        <v>43</v>
      </c>
      <c r="D22" s="14">
        <v>65</v>
      </c>
      <c r="E22" s="12">
        <v>15</v>
      </c>
    </row>
    <row r="23" spans="1:6">
      <c r="A23" s="12" t="s">
        <v>29</v>
      </c>
      <c r="B23" s="13">
        <v>46171</v>
      </c>
      <c r="C23" s="12" t="s">
        <v>44</v>
      </c>
      <c r="D23" s="14">
        <v>50</v>
      </c>
      <c r="E23" s="12">
        <v>15</v>
      </c>
      <c r="F23" t="s">
        <v>128</v>
      </c>
    </row>
    <row r="24" spans="1:6">
      <c r="A24" s="16" t="s">
        <v>45</v>
      </c>
      <c r="B24" s="16"/>
      <c r="C24" s="16"/>
      <c r="D24" s="15">
        <f>SUM(D5:D23)</f>
        <v>1850</v>
      </c>
      <c r="E24" s="16">
        <f>SUM(E5:E23)</f>
        <v>285</v>
      </c>
    </row>
    <row r="25" spans="1:6">
      <c r="A25" s="16" t="s">
        <v>8</v>
      </c>
      <c r="B25" s="16"/>
      <c r="C25" s="16"/>
      <c r="D25" s="15">
        <f>D2-D24</f>
        <v>50</v>
      </c>
      <c r="E25" s="16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="84" zoomScaleNormal="145" workbookViewId="0">
      <selection activeCell="F22" sqref="F22:F23"/>
    </sheetView>
  </sheetViews>
  <sheetFormatPr baseColWidth="10" defaultColWidth="9" defaultRowHeight="13.8"/>
  <cols>
    <col min="1" max="2" width="14" style="17" customWidth="1"/>
    <col min="3" max="3" width="38" style="17" customWidth="1"/>
    <col min="4" max="4" width="10" style="17" customWidth="1"/>
    <col min="5" max="5" width="16" style="17" hidden="1" customWidth="1"/>
    <col min="6" max="16384" width="9" style="17"/>
  </cols>
  <sheetData>
    <row r="1" spans="1:5" ht="19.8">
      <c r="A1" s="40" t="s">
        <v>46</v>
      </c>
      <c r="B1" s="40"/>
      <c r="C1" s="40"/>
      <c r="D1" s="40"/>
      <c r="E1" s="40"/>
    </row>
    <row r="2" spans="1:5">
      <c r="A2" s="4" t="s">
        <v>1</v>
      </c>
      <c r="B2" s="5" t="s">
        <v>124</v>
      </c>
      <c r="C2" s="5" t="s">
        <v>16</v>
      </c>
      <c r="D2" s="6">
        <v>1900</v>
      </c>
      <c r="E2" s="7"/>
    </row>
    <row r="3" spans="1:5">
      <c r="A3" s="8" t="s">
        <v>6</v>
      </c>
      <c r="B3" s="9">
        <f>SUM(D5:D23)</f>
        <v>1825</v>
      </c>
      <c r="C3" s="9" t="s">
        <v>8</v>
      </c>
      <c r="D3" s="10">
        <f>D2-B3</f>
        <v>75</v>
      </c>
      <c r="E3" s="11"/>
    </row>
    <row r="4" spans="1:5">
      <c r="A4" s="2" t="s">
        <v>17</v>
      </c>
      <c r="B4" s="2" t="s">
        <v>18</v>
      </c>
      <c r="C4" s="2" t="s">
        <v>19</v>
      </c>
      <c r="D4" s="3" t="s">
        <v>20</v>
      </c>
      <c r="E4" s="2" t="s">
        <v>126</v>
      </c>
    </row>
    <row r="5" spans="1:5" hidden="1">
      <c r="A5" s="12" t="s">
        <v>21</v>
      </c>
      <c r="B5" s="13">
        <v>46146</v>
      </c>
      <c r="C5" s="12" t="s">
        <v>47</v>
      </c>
      <c r="D5" s="14">
        <v>95</v>
      </c>
      <c r="E5" s="12">
        <v>15</v>
      </c>
    </row>
    <row r="6" spans="1:5" hidden="1">
      <c r="A6" s="12" t="s">
        <v>23</v>
      </c>
      <c r="B6" s="13">
        <v>46147</v>
      </c>
      <c r="C6" s="12" t="s">
        <v>48</v>
      </c>
      <c r="D6" s="14">
        <v>95</v>
      </c>
      <c r="E6" s="12">
        <v>15</v>
      </c>
    </row>
    <row r="7" spans="1:5" hidden="1">
      <c r="A7" s="12" t="s">
        <v>25</v>
      </c>
      <c r="B7" s="13">
        <v>46148</v>
      </c>
      <c r="C7" s="12" t="s">
        <v>49</v>
      </c>
      <c r="D7" s="14">
        <v>80</v>
      </c>
      <c r="E7" s="12">
        <v>15</v>
      </c>
    </row>
    <row r="8" spans="1:5" hidden="1">
      <c r="A8" s="12" t="s">
        <v>27</v>
      </c>
      <c r="B8" s="13">
        <v>46149</v>
      </c>
      <c r="C8" s="12" t="s">
        <v>50</v>
      </c>
      <c r="D8" s="14">
        <v>80</v>
      </c>
      <c r="E8" s="12">
        <v>15</v>
      </c>
    </row>
    <row r="9" spans="1:5" hidden="1">
      <c r="A9" s="12" t="s">
        <v>29</v>
      </c>
      <c r="B9" s="13">
        <v>46150</v>
      </c>
      <c r="C9" s="12" t="s">
        <v>51</v>
      </c>
      <c r="D9" s="14">
        <v>65</v>
      </c>
      <c r="E9" s="12">
        <v>15</v>
      </c>
    </row>
    <row r="10" spans="1:5">
      <c r="A10" s="12" t="s">
        <v>21</v>
      </c>
      <c r="B10" s="13">
        <v>46153</v>
      </c>
      <c r="C10" s="12" t="s">
        <v>52</v>
      </c>
      <c r="D10" s="14">
        <v>70</v>
      </c>
      <c r="E10" s="12">
        <v>15</v>
      </c>
    </row>
    <row r="11" spans="1:5">
      <c r="A11" s="12" t="s">
        <v>23</v>
      </c>
      <c r="B11" s="13">
        <v>46154</v>
      </c>
      <c r="C11" s="12" t="s">
        <v>53</v>
      </c>
      <c r="D11" s="14">
        <v>65</v>
      </c>
      <c r="E11" s="12">
        <v>15</v>
      </c>
    </row>
    <row r="12" spans="1:5">
      <c r="A12" s="12" t="s">
        <v>25</v>
      </c>
      <c r="B12" s="13">
        <v>46155</v>
      </c>
      <c r="C12" s="12" t="s">
        <v>54</v>
      </c>
      <c r="D12" s="14">
        <v>180</v>
      </c>
      <c r="E12" s="12">
        <v>15</v>
      </c>
    </row>
    <row r="13" spans="1:5">
      <c r="A13" s="12" t="s">
        <v>27</v>
      </c>
      <c r="B13" s="13">
        <v>46156</v>
      </c>
      <c r="C13" s="12" t="s">
        <v>55</v>
      </c>
      <c r="D13" s="14">
        <v>95</v>
      </c>
      <c r="E13" s="12">
        <v>15</v>
      </c>
    </row>
    <row r="14" spans="1:5">
      <c r="A14" s="12" t="s">
        <v>29</v>
      </c>
      <c r="B14" s="13">
        <v>46157</v>
      </c>
      <c r="C14" s="12" t="s">
        <v>56</v>
      </c>
      <c r="D14" s="14">
        <v>175</v>
      </c>
      <c r="E14" s="12">
        <v>15</v>
      </c>
    </row>
    <row r="15" spans="1:5">
      <c r="A15" s="12" t="s">
        <v>21</v>
      </c>
      <c r="B15" s="13">
        <v>46160</v>
      </c>
      <c r="C15" s="12" t="s">
        <v>57</v>
      </c>
      <c r="D15" s="14">
        <v>65</v>
      </c>
      <c r="E15" s="12">
        <v>15</v>
      </c>
    </row>
    <row r="16" spans="1:5">
      <c r="A16" s="12" t="s">
        <v>23</v>
      </c>
      <c r="B16" s="13">
        <v>46161</v>
      </c>
      <c r="C16" s="12" t="s">
        <v>58</v>
      </c>
      <c r="D16" s="14">
        <v>180</v>
      </c>
      <c r="E16" s="12">
        <v>15</v>
      </c>
    </row>
    <row r="17" spans="1:6">
      <c r="A17" s="12" t="s">
        <v>25</v>
      </c>
      <c r="B17" s="13">
        <v>46162</v>
      </c>
      <c r="C17" s="12" t="s">
        <v>59</v>
      </c>
      <c r="D17" s="14">
        <v>65</v>
      </c>
      <c r="E17" s="12">
        <v>15</v>
      </c>
    </row>
    <row r="18" spans="1:6">
      <c r="A18" s="12" t="s">
        <v>29</v>
      </c>
      <c r="B18" s="13">
        <v>46164</v>
      </c>
      <c r="C18" s="12" t="s">
        <v>60</v>
      </c>
      <c r="D18" s="14">
        <v>65</v>
      </c>
      <c r="E18" s="12">
        <v>15</v>
      </c>
    </row>
    <row r="19" spans="1:6">
      <c r="A19" s="12" t="s">
        <v>21</v>
      </c>
      <c r="B19" s="13">
        <v>46167</v>
      </c>
      <c r="C19" s="12" t="s">
        <v>61</v>
      </c>
      <c r="D19" s="14">
        <v>70</v>
      </c>
      <c r="E19" s="12">
        <v>15</v>
      </c>
    </row>
    <row r="20" spans="1:6">
      <c r="A20" s="12" t="s">
        <v>23</v>
      </c>
      <c r="B20" s="13">
        <v>46168</v>
      </c>
      <c r="C20" s="12" t="s">
        <v>62</v>
      </c>
      <c r="D20" s="14">
        <v>175</v>
      </c>
      <c r="E20" s="12">
        <v>15</v>
      </c>
    </row>
    <row r="21" spans="1:6">
      <c r="A21" s="12" t="s">
        <v>25</v>
      </c>
      <c r="B21" s="13">
        <v>46169</v>
      </c>
      <c r="C21" s="12" t="s">
        <v>63</v>
      </c>
      <c r="D21" s="14">
        <v>65</v>
      </c>
      <c r="E21" s="12">
        <v>15</v>
      </c>
    </row>
    <row r="22" spans="1:6">
      <c r="A22" s="12" t="s">
        <v>27</v>
      </c>
      <c r="B22" s="13">
        <v>46170</v>
      </c>
      <c r="C22" s="12" t="s">
        <v>64</v>
      </c>
      <c r="D22" s="14">
        <v>70</v>
      </c>
      <c r="E22" s="12">
        <v>15</v>
      </c>
      <c r="F22" s="17" t="s">
        <v>128</v>
      </c>
    </row>
    <row r="23" spans="1:6">
      <c r="A23" s="12" t="s">
        <v>29</v>
      </c>
      <c r="B23" s="13">
        <v>46171</v>
      </c>
      <c r="C23" s="12" t="s">
        <v>65</v>
      </c>
      <c r="D23" s="14">
        <v>70</v>
      </c>
      <c r="E23" s="12">
        <v>15</v>
      </c>
      <c r="F23" s="17" t="s">
        <v>128</v>
      </c>
    </row>
    <row r="24" spans="1:6">
      <c r="A24" s="16" t="s">
        <v>45</v>
      </c>
      <c r="B24" s="16"/>
      <c r="C24" s="16"/>
      <c r="D24" s="15">
        <f>SUM(D5:D23)</f>
        <v>1825</v>
      </c>
      <c r="E24" s="16">
        <f>SUM(E5:E23)</f>
        <v>285</v>
      </c>
    </row>
    <row r="25" spans="1:6">
      <c r="A25" s="16" t="s">
        <v>8</v>
      </c>
      <c r="B25" s="16"/>
      <c r="C25" s="16"/>
      <c r="D25" s="15">
        <f>D2-D24</f>
        <v>75</v>
      </c>
      <c r="E25" s="16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opLeftCell="A11" zoomScale="116" zoomScaleNormal="145" workbookViewId="0">
      <selection activeCell="H24" sqref="H24"/>
    </sheetView>
  </sheetViews>
  <sheetFormatPr baseColWidth="10" defaultColWidth="9" defaultRowHeight="13.8"/>
  <cols>
    <col min="1" max="2" width="14" style="17" customWidth="1"/>
    <col min="3" max="3" width="38" style="17" customWidth="1"/>
    <col min="4" max="4" width="10" style="17" customWidth="1"/>
    <col min="5" max="5" width="16" style="17" hidden="1" customWidth="1"/>
    <col min="6" max="16384" width="9" style="17"/>
  </cols>
  <sheetData>
    <row r="1" spans="1:5" ht="19.8">
      <c r="A1" s="40" t="s">
        <v>66</v>
      </c>
      <c r="B1" s="40"/>
      <c r="C1" s="40"/>
      <c r="D1" s="40"/>
      <c r="E1" s="40"/>
    </row>
    <row r="2" spans="1:5">
      <c r="A2" s="4" t="s">
        <v>1</v>
      </c>
      <c r="B2" s="5" t="s">
        <v>124</v>
      </c>
      <c r="C2" s="5" t="s">
        <v>16</v>
      </c>
      <c r="D2" s="6">
        <v>1900</v>
      </c>
      <c r="E2" s="7"/>
    </row>
    <row r="3" spans="1:5">
      <c r="A3" s="8" t="s">
        <v>6</v>
      </c>
      <c r="B3" s="9">
        <f>SUM(D5:D23)</f>
        <v>1835</v>
      </c>
      <c r="C3" s="9" t="s">
        <v>8</v>
      </c>
      <c r="D3" s="10">
        <f>D2-B3</f>
        <v>65</v>
      </c>
      <c r="E3" s="11"/>
    </row>
    <row r="4" spans="1:5">
      <c r="A4" s="2" t="s">
        <v>17</v>
      </c>
      <c r="B4" s="2" t="s">
        <v>18</v>
      </c>
      <c r="C4" s="2" t="s">
        <v>19</v>
      </c>
      <c r="D4" s="3" t="s">
        <v>20</v>
      </c>
      <c r="E4" s="2" t="s">
        <v>126</v>
      </c>
    </row>
    <row r="5" spans="1:5" hidden="1">
      <c r="A5" s="12" t="s">
        <v>21</v>
      </c>
      <c r="B5" s="13">
        <v>46146</v>
      </c>
      <c r="C5" s="12" t="s">
        <v>67</v>
      </c>
      <c r="D5" s="14">
        <v>75</v>
      </c>
      <c r="E5" s="12">
        <v>15</v>
      </c>
    </row>
    <row r="6" spans="1:5" hidden="1">
      <c r="A6" s="12" t="s">
        <v>23</v>
      </c>
      <c r="B6" s="13">
        <v>46147</v>
      </c>
      <c r="C6" s="12" t="s">
        <v>68</v>
      </c>
      <c r="D6" s="14">
        <v>86</v>
      </c>
      <c r="E6" s="12">
        <v>15</v>
      </c>
    </row>
    <row r="7" spans="1:5" hidden="1">
      <c r="A7" s="12" t="s">
        <v>25</v>
      </c>
      <c r="B7" s="13">
        <v>46148</v>
      </c>
      <c r="C7" s="12" t="s">
        <v>69</v>
      </c>
      <c r="D7" s="14">
        <v>118</v>
      </c>
      <c r="E7" s="12">
        <v>15</v>
      </c>
    </row>
    <row r="8" spans="1:5" hidden="1">
      <c r="A8" s="12" t="s">
        <v>27</v>
      </c>
      <c r="B8" s="13">
        <v>46149</v>
      </c>
      <c r="C8" s="12" t="s">
        <v>70</v>
      </c>
      <c r="D8" s="14">
        <v>118</v>
      </c>
      <c r="E8" s="12">
        <v>15</v>
      </c>
    </row>
    <row r="9" spans="1:5" hidden="1">
      <c r="A9" s="12" t="s">
        <v>29</v>
      </c>
      <c r="B9" s="13">
        <v>46150</v>
      </c>
      <c r="C9" s="12" t="s">
        <v>71</v>
      </c>
      <c r="D9" s="14">
        <v>160</v>
      </c>
      <c r="E9" s="12">
        <v>15</v>
      </c>
    </row>
    <row r="10" spans="1:5">
      <c r="A10" s="12" t="s">
        <v>21</v>
      </c>
      <c r="B10" s="13">
        <v>46153</v>
      </c>
      <c r="C10" s="12" t="s">
        <v>72</v>
      </c>
      <c r="D10" s="14">
        <v>70</v>
      </c>
      <c r="E10" s="12">
        <v>15</v>
      </c>
    </row>
    <row r="11" spans="1:5">
      <c r="A11" s="12" t="s">
        <v>23</v>
      </c>
      <c r="B11" s="13">
        <v>46154</v>
      </c>
      <c r="C11" s="12" t="s">
        <v>73</v>
      </c>
      <c r="D11" s="14">
        <v>165</v>
      </c>
      <c r="E11" s="12">
        <v>15</v>
      </c>
    </row>
    <row r="12" spans="1:5">
      <c r="A12" s="12" t="s">
        <v>25</v>
      </c>
      <c r="B12" s="13">
        <v>46155</v>
      </c>
      <c r="C12" s="12" t="s">
        <v>43</v>
      </c>
      <c r="D12" s="14">
        <v>60</v>
      </c>
      <c r="E12" s="12">
        <v>15</v>
      </c>
    </row>
    <row r="13" spans="1:5">
      <c r="A13" s="12" t="s">
        <v>27</v>
      </c>
      <c r="B13" s="13">
        <v>46156</v>
      </c>
      <c r="C13" s="12" t="s">
        <v>74</v>
      </c>
      <c r="D13" s="14">
        <v>200</v>
      </c>
      <c r="E13" s="12">
        <v>15</v>
      </c>
    </row>
    <row r="14" spans="1:5">
      <c r="A14" s="12" t="s">
        <v>29</v>
      </c>
      <c r="B14" s="13">
        <v>46157</v>
      </c>
      <c r="C14" s="12" t="s">
        <v>75</v>
      </c>
      <c r="D14" s="14">
        <v>60</v>
      </c>
      <c r="E14" s="12">
        <v>15</v>
      </c>
    </row>
    <row r="15" spans="1:5">
      <c r="A15" s="12" t="s">
        <v>21</v>
      </c>
      <c r="B15" s="13">
        <v>46160</v>
      </c>
      <c r="C15" s="12" t="s">
        <v>76</v>
      </c>
      <c r="D15" s="14">
        <v>55</v>
      </c>
      <c r="E15" s="12">
        <v>15</v>
      </c>
    </row>
    <row r="16" spans="1:5">
      <c r="A16" s="12" t="s">
        <v>23</v>
      </c>
      <c r="B16" s="13">
        <v>46161</v>
      </c>
      <c r="C16" s="12" t="s">
        <v>77</v>
      </c>
      <c r="D16" s="14">
        <v>60</v>
      </c>
      <c r="E16" s="12">
        <v>15</v>
      </c>
    </row>
    <row r="17" spans="1:6">
      <c r="A17" s="12" t="s">
        <v>25</v>
      </c>
      <c r="B17" s="13">
        <v>46162</v>
      </c>
      <c r="C17" s="12" t="s">
        <v>78</v>
      </c>
      <c r="D17" s="14">
        <v>70</v>
      </c>
      <c r="E17" s="12">
        <v>15</v>
      </c>
    </row>
    <row r="18" spans="1:6">
      <c r="A18" s="12" t="s">
        <v>29</v>
      </c>
      <c r="B18" s="13">
        <v>46164</v>
      </c>
      <c r="C18" s="12" t="s">
        <v>79</v>
      </c>
      <c r="D18" s="14">
        <v>50</v>
      </c>
      <c r="E18" s="12">
        <v>15</v>
      </c>
    </row>
    <row r="19" spans="1:6">
      <c r="A19" s="12" t="s">
        <v>21</v>
      </c>
      <c r="B19" s="13">
        <v>46167</v>
      </c>
      <c r="C19" s="12" t="s">
        <v>80</v>
      </c>
      <c r="D19" s="14">
        <v>62</v>
      </c>
      <c r="E19" s="12">
        <v>15</v>
      </c>
    </row>
    <row r="20" spans="1:6">
      <c r="A20" s="12" t="s">
        <v>23</v>
      </c>
      <c r="B20" s="13">
        <v>46168</v>
      </c>
      <c r="C20" s="12" t="s">
        <v>81</v>
      </c>
      <c r="D20" s="14">
        <v>200</v>
      </c>
      <c r="E20" s="12">
        <v>15</v>
      </c>
    </row>
    <row r="21" spans="1:6">
      <c r="A21" s="12" t="s">
        <v>25</v>
      </c>
      <c r="B21" s="13">
        <v>46169</v>
      </c>
      <c r="C21" s="12" t="s">
        <v>82</v>
      </c>
      <c r="D21" s="14">
        <v>65</v>
      </c>
      <c r="E21" s="12">
        <v>15</v>
      </c>
    </row>
    <row r="22" spans="1:6">
      <c r="A22" s="12" t="s">
        <v>27</v>
      </c>
      <c r="B22" s="13">
        <v>46170</v>
      </c>
      <c r="C22" s="12" t="s">
        <v>83</v>
      </c>
      <c r="D22" s="14">
        <v>75</v>
      </c>
      <c r="E22" s="12">
        <v>15</v>
      </c>
    </row>
    <row r="23" spans="1:6">
      <c r="A23" s="12" t="s">
        <v>29</v>
      </c>
      <c r="B23" s="13">
        <v>46171</v>
      </c>
      <c r="C23" s="12" t="s">
        <v>84</v>
      </c>
      <c r="D23" s="14">
        <v>86</v>
      </c>
      <c r="E23" s="12">
        <v>15</v>
      </c>
      <c r="F23" s="17" t="s">
        <v>128</v>
      </c>
    </row>
    <row r="24" spans="1:6">
      <c r="A24" s="16" t="s">
        <v>45</v>
      </c>
      <c r="B24" s="16"/>
      <c r="C24" s="16"/>
      <c r="D24" s="15">
        <f>SUM(D5:D23)</f>
        <v>1835</v>
      </c>
      <c r="E24" s="16">
        <f>SUM(E5:E23)</f>
        <v>285</v>
      </c>
    </row>
    <row r="25" spans="1:6">
      <c r="A25" s="16" t="s">
        <v>8</v>
      </c>
      <c r="B25" s="16"/>
      <c r="C25" s="16"/>
      <c r="D25" s="15">
        <f>D2-D24</f>
        <v>65</v>
      </c>
      <c r="E25" s="16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="67" zoomScaleNormal="220" workbookViewId="0">
      <selection activeCell="C10" sqref="C10"/>
    </sheetView>
  </sheetViews>
  <sheetFormatPr baseColWidth="10" defaultColWidth="9" defaultRowHeight="13.8"/>
  <cols>
    <col min="1" max="2" width="14" style="17" customWidth="1"/>
    <col min="3" max="3" width="38" style="17" customWidth="1"/>
    <col min="4" max="4" width="10" style="17" customWidth="1"/>
    <col min="5" max="5" width="16" style="17" hidden="1" customWidth="1"/>
    <col min="6" max="16384" width="9" style="17"/>
  </cols>
  <sheetData>
    <row r="1" spans="1:5" ht="19.8">
      <c r="A1" s="38" t="s">
        <v>85</v>
      </c>
      <c r="B1" s="38"/>
      <c r="C1" s="38"/>
      <c r="D1" s="38"/>
      <c r="E1" s="38"/>
    </row>
    <row r="2" spans="1:5" ht="14.4">
      <c r="A2" s="23" t="s">
        <v>1</v>
      </c>
      <c r="B2" s="24" t="s">
        <v>124</v>
      </c>
      <c r="C2" s="24" t="s">
        <v>16</v>
      </c>
      <c r="D2" s="25">
        <v>1900</v>
      </c>
      <c r="E2" s="26"/>
    </row>
    <row r="3" spans="1:5" ht="14.4">
      <c r="A3" s="27" t="s">
        <v>6</v>
      </c>
      <c r="B3" s="28">
        <f>SUM(D5:D23)</f>
        <v>1792</v>
      </c>
      <c r="C3" s="28" t="s">
        <v>8</v>
      </c>
      <c r="D3" s="29">
        <f>D2-B3</f>
        <v>108</v>
      </c>
      <c r="E3" s="30"/>
    </row>
    <row r="4" spans="1:5" ht="14.4">
      <c r="A4" s="31" t="s">
        <v>17</v>
      </c>
      <c r="B4" s="31" t="s">
        <v>18</v>
      </c>
      <c r="C4" s="31" t="s">
        <v>19</v>
      </c>
      <c r="D4" s="32" t="s">
        <v>20</v>
      </c>
      <c r="E4" s="31" t="s">
        <v>126</v>
      </c>
    </row>
    <row r="5" spans="1:5" ht="14.4" hidden="1">
      <c r="A5" s="21" t="s">
        <v>21</v>
      </c>
      <c r="B5" s="33">
        <v>46146</v>
      </c>
      <c r="C5" s="21" t="s">
        <v>86</v>
      </c>
      <c r="D5" s="22">
        <v>142</v>
      </c>
      <c r="E5" s="21">
        <v>15</v>
      </c>
    </row>
    <row r="6" spans="1:5" ht="14.4" hidden="1">
      <c r="A6" s="21" t="s">
        <v>23</v>
      </c>
      <c r="B6" s="33">
        <v>46147</v>
      </c>
      <c r="C6" s="21" t="s">
        <v>87</v>
      </c>
      <c r="D6" s="22">
        <v>184</v>
      </c>
      <c r="E6" s="21">
        <v>15</v>
      </c>
    </row>
    <row r="7" spans="1:5" ht="14.4" hidden="1">
      <c r="A7" s="21" t="s">
        <v>25</v>
      </c>
      <c r="B7" s="33">
        <v>46148</v>
      </c>
      <c r="C7" s="21" t="s">
        <v>88</v>
      </c>
      <c r="D7" s="22">
        <v>47</v>
      </c>
      <c r="E7" s="21">
        <v>15</v>
      </c>
    </row>
    <row r="8" spans="1:5" ht="14.4" hidden="1">
      <c r="A8" s="21" t="s">
        <v>27</v>
      </c>
      <c r="B8" s="33">
        <v>46149</v>
      </c>
      <c r="C8" s="21" t="s">
        <v>89</v>
      </c>
      <c r="D8" s="22">
        <v>47</v>
      </c>
      <c r="E8" s="21">
        <v>15</v>
      </c>
    </row>
    <row r="9" spans="1:5" ht="14.4" hidden="1">
      <c r="A9" s="21" t="s">
        <v>29</v>
      </c>
      <c r="B9" s="33">
        <v>46150</v>
      </c>
      <c r="C9" s="21" t="s">
        <v>90</v>
      </c>
      <c r="D9" s="22">
        <v>98</v>
      </c>
      <c r="E9" s="21">
        <v>15</v>
      </c>
    </row>
    <row r="10" spans="1:5" ht="14.4">
      <c r="A10" s="21" t="s">
        <v>21</v>
      </c>
      <c r="B10" s="33">
        <v>46153</v>
      </c>
      <c r="C10" s="21" t="s">
        <v>91</v>
      </c>
      <c r="D10" s="22">
        <v>111</v>
      </c>
      <c r="E10" s="21">
        <v>15</v>
      </c>
    </row>
    <row r="11" spans="1:5" ht="14.4">
      <c r="A11" s="21" t="s">
        <v>23</v>
      </c>
      <c r="B11" s="33">
        <v>46154</v>
      </c>
      <c r="C11" s="21" t="s">
        <v>92</v>
      </c>
      <c r="D11" s="22">
        <v>78</v>
      </c>
      <c r="E11" s="21">
        <v>15</v>
      </c>
    </row>
    <row r="12" spans="1:5" ht="14.4">
      <c r="A12" s="21" t="s">
        <v>25</v>
      </c>
      <c r="B12" s="33">
        <v>46155</v>
      </c>
      <c r="C12" s="21" t="s">
        <v>93</v>
      </c>
      <c r="D12" s="22">
        <v>142</v>
      </c>
      <c r="E12" s="21">
        <v>15</v>
      </c>
    </row>
    <row r="13" spans="1:5" ht="14.4">
      <c r="A13" s="21" t="s">
        <v>27</v>
      </c>
      <c r="B13" s="33">
        <v>46156</v>
      </c>
      <c r="C13" s="21" t="s">
        <v>127</v>
      </c>
      <c r="D13" s="22">
        <v>173</v>
      </c>
      <c r="E13" s="21">
        <v>15</v>
      </c>
    </row>
    <row r="14" spans="1:5" ht="14.4">
      <c r="A14" s="21" t="s">
        <v>29</v>
      </c>
      <c r="B14" s="33">
        <v>46157</v>
      </c>
      <c r="C14" s="21" t="s">
        <v>94</v>
      </c>
      <c r="D14" s="22">
        <v>63</v>
      </c>
      <c r="E14" s="21">
        <v>15</v>
      </c>
    </row>
    <row r="15" spans="1:5" ht="14.4">
      <c r="A15" s="21" t="s">
        <v>21</v>
      </c>
      <c r="B15" s="33">
        <v>46160</v>
      </c>
      <c r="C15" s="21" t="s">
        <v>95</v>
      </c>
      <c r="D15" s="22">
        <v>47</v>
      </c>
      <c r="E15" s="21">
        <v>15</v>
      </c>
    </row>
    <row r="16" spans="1:5" ht="14.4">
      <c r="A16" s="21" t="s">
        <v>23</v>
      </c>
      <c r="B16" s="33">
        <v>46161</v>
      </c>
      <c r="C16" s="21" t="s">
        <v>96</v>
      </c>
      <c r="D16" s="22">
        <v>68</v>
      </c>
      <c r="E16" s="21">
        <v>15</v>
      </c>
    </row>
    <row r="17" spans="1:5" ht="14.4">
      <c r="A17" s="21" t="s">
        <v>25</v>
      </c>
      <c r="B17" s="33">
        <v>46162</v>
      </c>
      <c r="C17" s="21" t="s">
        <v>97</v>
      </c>
      <c r="D17" s="22">
        <v>111</v>
      </c>
      <c r="E17" s="21">
        <v>15</v>
      </c>
    </row>
    <row r="18" spans="1:5" ht="14.4">
      <c r="A18" s="21" t="s">
        <v>29</v>
      </c>
      <c r="B18" s="33">
        <v>46164</v>
      </c>
      <c r="C18" s="21" t="s">
        <v>98</v>
      </c>
      <c r="D18" s="22">
        <v>59</v>
      </c>
      <c r="E18" s="21">
        <v>15</v>
      </c>
    </row>
    <row r="19" spans="1:5" ht="14.4">
      <c r="A19" s="21" t="s">
        <v>21</v>
      </c>
      <c r="B19" s="33">
        <v>46167</v>
      </c>
      <c r="C19" s="21" t="s">
        <v>99</v>
      </c>
      <c r="D19" s="22">
        <v>98</v>
      </c>
      <c r="E19" s="21">
        <v>15</v>
      </c>
    </row>
    <row r="20" spans="1:5" ht="14.4">
      <c r="A20" s="21" t="s">
        <v>23</v>
      </c>
      <c r="B20" s="33">
        <v>46168</v>
      </c>
      <c r="C20" s="21" t="s">
        <v>100</v>
      </c>
      <c r="D20" s="22">
        <v>69</v>
      </c>
      <c r="E20" s="21">
        <v>15</v>
      </c>
    </row>
    <row r="21" spans="1:5" ht="14.4">
      <c r="A21" s="21" t="s">
        <v>25</v>
      </c>
      <c r="B21" s="33">
        <v>46169</v>
      </c>
      <c r="C21" s="21" t="s">
        <v>101</v>
      </c>
      <c r="D21" s="22">
        <v>102</v>
      </c>
      <c r="E21" s="21">
        <v>15</v>
      </c>
    </row>
    <row r="22" spans="1:5" ht="14.4">
      <c r="A22" s="21" t="s">
        <v>27</v>
      </c>
      <c r="B22" s="33">
        <v>46170</v>
      </c>
      <c r="C22" s="21" t="s">
        <v>102</v>
      </c>
      <c r="D22" s="22">
        <v>59</v>
      </c>
      <c r="E22" s="21">
        <v>15</v>
      </c>
    </row>
    <row r="23" spans="1:5" ht="14.4">
      <c r="A23" s="21" t="s">
        <v>29</v>
      </c>
      <c r="B23" s="33">
        <v>46171</v>
      </c>
      <c r="C23" s="21" t="s">
        <v>103</v>
      </c>
      <c r="D23" s="22">
        <v>94</v>
      </c>
      <c r="E23" s="21">
        <v>15</v>
      </c>
    </row>
    <row r="24" spans="1:5" ht="14.4">
      <c r="A24" s="34" t="s">
        <v>45</v>
      </c>
      <c r="B24" s="34"/>
      <c r="C24" s="34"/>
      <c r="D24" s="35">
        <f>SUM(D5:D23)</f>
        <v>1792</v>
      </c>
      <c r="E24" s="34">
        <f>SUM(E5:E23)</f>
        <v>285</v>
      </c>
    </row>
    <row r="25" spans="1:5" ht="14.4">
      <c r="A25" s="34" t="s">
        <v>8</v>
      </c>
      <c r="B25" s="34"/>
      <c r="C25" s="34"/>
      <c r="D25" s="35">
        <f>D2-D24</f>
        <v>108</v>
      </c>
      <c r="E25" s="34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tabSelected="1" zoomScale="126" zoomScaleNormal="220" workbookViewId="0">
      <selection activeCell="H16" sqref="H16"/>
    </sheetView>
  </sheetViews>
  <sheetFormatPr baseColWidth="10" defaultColWidth="9" defaultRowHeight="13.8"/>
  <cols>
    <col min="1" max="2" width="14" style="17" customWidth="1"/>
    <col min="3" max="3" width="38" style="17" customWidth="1"/>
    <col min="4" max="4" width="10" style="17" customWidth="1"/>
    <col min="5" max="5" width="16" style="17" hidden="1" customWidth="1"/>
    <col min="6" max="16384" width="9" style="17"/>
  </cols>
  <sheetData>
    <row r="1" spans="1:5" ht="19.8">
      <c r="A1" s="38" t="s">
        <v>104</v>
      </c>
      <c r="B1" s="38"/>
      <c r="C1" s="38"/>
      <c r="D1" s="38"/>
      <c r="E1" s="38"/>
    </row>
    <row r="2" spans="1:5" ht="14.4">
      <c r="A2" s="23" t="s">
        <v>1</v>
      </c>
      <c r="B2" s="24" t="s">
        <v>124</v>
      </c>
      <c r="C2" s="24" t="s">
        <v>16</v>
      </c>
      <c r="D2" s="25">
        <v>1900</v>
      </c>
      <c r="E2" s="26"/>
    </row>
    <row r="3" spans="1:5" ht="14.4">
      <c r="A3" s="27" t="s">
        <v>6</v>
      </c>
      <c r="B3" s="28">
        <f>SUM(D5:D23)</f>
        <v>1712</v>
      </c>
      <c r="C3" s="28" t="s">
        <v>8</v>
      </c>
      <c r="D3" s="29">
        <f>D2-B3</f>
        <v>188</v>
      </c>
      <c r="E3" s="30"/>
    </row>
    <row r="4" spans="1:5" ht="14.4">
      <c r="A4" s="31" t="s">
        <v>17</v>
      </c>
      <c r="B4" s="31" t="s">
        <v>18</v>
      </c>
      <c r="C4" s="31" t="s">
        <v>19</v>
      </c>
      <c r="D4" s="32" t="s">
        <v>20</v>
      </c>
      <c r="E4" s="31" t="s">
        <v>126</v>
      </c>
    </row>
    <row r="5" spans="1:5" ht="14.4" hidden="1">
      <c r="A5" s="21" t="s">
        <v>21</v>
      </c>
      <c r="B5" s="33">
        <v>46146</v>
      </c>
      <c r="C5" s="21" t="s">
        <v>105</v>
      </c>
      <c r="D5" s="22">
        <v>137</v>
      </c>
      <c r="E5" s="21">
        <v>15</v>
      </c>
    </row>
    <row r="6" spans="1:5" ht="14.4" hidden="1">
      <c r="A6" s="21" t="s">
        <v>23</v>
      </c>
      <c r="B6" s="33">
        <v>46147</v>
      </c>
      <c r="C6" s="21" t="s">
        <v>106</v>
      </c>
      <c r="D6" s="22">
        <v>54</v>
      </c>
      <c r="E6" s="21">
        <v>15</v>
      </c>
    </row>
    <row r="7" spans="1:5" ht="14.4" hidden="1">
      <c r="A7" s="21" t="s">
        <v>25</v>
      </c>
      <c r="B7" s="33">
        <v>46148</v>
      </c>
      <c r="C7" s="21" t="s">
        <v>107</v>
      </c>
      <c r="D7" s="22">
        <v>51</v>
      </c>
      <c r="E7" s="21">
        <v>15</v>
      </c>
    </row>
    <row r="8" spans="1:5" ht="14.4" hidden="1">
      <c r="A8" s="21" t="s">
        <v>27</v>
      </c>
      <c r="B8" s="33">
        <v>46149</v>
      </c>
      <c r="C8" s="21" t="s">
        <v>108</v>
      </c>
      <c r="D8" s="22">
        <v>61</v>
      </c>
      <c r="E8" s="21">
        <v>15</v>
      </c>
    </row>
    <row r="9" spans="1:5" ht="14.4" hidden="1">
      <c r="A9" s="21" t="s">
        <v>29</v>
      </c>
      <c r="B9" s="33">
        <v>46150</v>
      </c>
      <c r="C9" s="21" t="s">
        <v>109</v>
      </c>
      <c r="D9" s="22">
        <v>68</v>
      </c>
      <c r="E9" s="21">
        <v>15</v>
      </c>
    </row>
    <row r="10" spans="1:5" ht="14.4">
      <c r="A10" s="21" t="s">
        <v>21</v>
      </c>
      <c r="B10" s="33">
        <v>46153</v>
      </c>
      <c r="C10" s="21" t="s">
        <v>110</v>
      </c>
      <c r="D10" s="22">
        <v>67</v>
      </c>
      <c r="E10" s="21">
        <v>15</v>
      </c>
    </row>
    <row r="11" spans="1:5" ht="14.4">
      <c r="A11" s="21" t="s">
        <v>23</v>
      </c>
      <c r="B11" s="33">
        <v>46154</v>
      </c>
      <c r="C11" s="21" t="s">
        <v>111</v>
      </c>
      <c r="D11" s="22">
        <v>121</v>
      </c>
      <c r="E11" s="21">
        <v>15</v>
      </c>
    </row>
    <row r="12" spans="1:5" ht="14.4">
      <c r="A12" s="21" t="s">
        <v>25</v>
      </c>
      <c r="B12" s="33">
        <v>46155</v>
      </c>
      <c r="C12" s="21" t="s">
        <v>112</v>
      </c>
      <c r="D12" s="22">
        <v>65</v>
      </c>
      <c r="E12" s="21">
        <v>15</v>
      </c>
    </row>
    <row r="13" spans="1:5" ht="14.4">
      <c r="A13" s="21" t="s">
        <v>27</v>
      </c>
      <c r="B13" s="33">
        <v>46156</v>
      </c>
      <c r="C13" s="21" t="s">
        <v>113</v>
      </c>
      <c r="D13" s="22">
        <v>75</v>
      </c>
      <c r="E13" s="21">
        <v>15</v>
      </c>
    </row>
    <row r="14" spans="1:5" ht="14.4">
      <c r="A14" s="21" t="s">
        <v>29</v>
      </c>
      <c r="B14" s="33">
        <v>46157</v>
      </c>
      <c r="C14" s="21" t="s">
        <v>114</v>
      </c>
      <c r="D14" s="22">
        <v>72</v>
      </c>
      <c r="E14" s="21">
        <v>15</v>
      </c>
    </row>
    <row r="15" spans="1:5" ht="14.4">
      <c r="A15" s="21" t="s">
        <v>21</v>
      </c>
      <c r="B15" s="33">
        <v>46160</v>
      </c>
      <c r="C15" s="21" t="s">
        <v>115</v>
      </c>
      <c r="D15" s="22">
        <v>75</v>
      </c>
      <c r="E15" s="21">
        <v>15</v>
      </c>
    </row>
    <row r="16" spans="1:5" ht="14.4">
      <c r="A16" s="21" t="s">
        <v>23</v>
      </c>
      <c r="B16" s="33">
        <v>46161</v>
      </c>
      <c r="C16" s="21" t="s">
        <v>116</v>
      </c>
      <c r="D16" s="22">
        <v>108</v>
      </c>
      <c r="E16" s="21">
        <v>15</v>
      </c>
    </row>
    <row r="17" spans="1:5" ht="14.4">
      <c r="A17" s="21" t="s">
        <v>25</v>
      </c>
      <c r="B17" s="33">
        <v>46162</v>
      </c>
      <c r="C17" s="21" t="s">
        <v>117</v>
      </c>
      <c r="D17" s="22">
        <v>82</v>
      </c>
      <c r="E17" s="21">
        <v>15</v>
      </c>
    </row>
    <row r="18" spans="1:5" ht="14.4">
      <c r="A18" s="21" t="s">
        <v>29</v>
      </c>
      <c r="B18" s="33">
        <v>46164</v>
      </c>
      <c r="C18" s="21" t="s">
        <v>118</v>
      </c>
      <c r="D18" s="22">
        <v>61</v>
      </c>
      <c r="E18" s="21">
        <v>15</v>
      </c>
    </row>
    <row r="19" spans="1:5" ht="14.4">
      <c r="A19" s="21" t="s">
        <v>21</v>
      </c>
      <c r="B19" s="33">
        <v>46167</v>
      </c>
      <c r="C19" s="21" t="s">
        <v>119</v>
      </c>
      <c r="D19" s="22">
        <v>65</v>
      </c>
      <c r="E19" s="21">
        <v>15</v>
      </c>
    </row>
    <row r="20" spans="1:5" ht="14.4">
      <c r="A20" s="21" t="s">
        <v>23</v>
      </c>
      <c r="B20" s="33">
        <v>46168</v>
      </c>
      <c r="C20" s="21" t="s">
        <v>120</v>
      </c>
      <c r="D20" s="22">
        <v>129</v>
      </c>
      <c r="E20" s="21">
        <v>15</v>
      </c>
    </row>
    <row r="21" spans="1:5" ht="14.4">
      <c r="A21" s="21" t="s">
        <v>25</v>
      </c>
      <c r="B21" s="33">
        <v>46169</v>
      </c>
      <c r="C21" s="21" t="s">
        <v>121</v>
      </c>
      <c r="D21" s="22">
        <v>125</v>
      </c>
      <c r="E21" s="21">
        <v>15</v>
      </c>
    </row>
    <row r="22" spans="1:5" ht="14.4">
      <c r="A22" s="21" t="s">
        <v>27</v>
      </c>
      <c r="B22" s="33">
        <v>46170</v>
      </c>
      <c r="C22" s="21" t="s">
        <v>122</v>
      </c>
      <c r="D22" s="22">
        <v>118</v>
      </c>
      <c r="E22" s="21">
        <v>15</v>
      </c>
    </row>
    <row r="23" spans="1:5" ht="14.4">
      <c r="A23" s="21" t="s">
        <v>29</v>
      </c>
      <c r="B23" s="33">
        <v>46171</v>
      </c>
      <c r="C23" s="21" t="s">
        <v>123</v>
      </c>
      <c r="D23" s="22">
        <v>178</v>
      </c>
      <c r="E23" s="21">
        <v>15</v>
      </c>
    </row>
    <row r="24" spans="1:5" ht="14.4">
      <c r="A24" s="34" t="s">
        <v>45</v>
      </c>
      <c r="B24" s="34"/>
      <c r="C24" s="34"/>
      <c r="D24" s="35">
        <f>SUM(D5:D23)</f>
        <v>1712</v>
      </c>
      <c r="E24" s="34">
        <f>SUM(E5:E23)</f>
        <v>285</v>
      </c>
    </row>
    <row r="25" spans="1:5" ht="14.4">
      <c r="A25" s="34" t="s">
        <v>8</v>
      </c>
      <c r="B25" s="34"/>
      <c r="C25" s="34"/>
      <c r="D25" s="35">
        <f>D2-D24</f>
        <v>188</v>
      </c>
      <c r="E25" s="3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Carlos Acevedo</vt:lpstr>
      <vt:lpstr>Mauricio Picart</vt:lpstr>
      <vt:lpstr>Pablo Villarroel</vt:lpstr>
      <vt:lpstr>Samuel Inostroza</vt:lpstr>
      <vt:lpstr>Cristian Lizama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Chaparro Navarro</cp:lastModifiedBy>
  <dcterms:modified xsi:type="dcterms:W3CDTF">2026-06-30T12:46:00Z</dcterms:modified>
</cp:coreProperties>
</file>