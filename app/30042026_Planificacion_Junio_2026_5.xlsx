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51e5493e413da3/Desktop/Seguros Digitales/2.- El Roble - Coca Cola/Planificación Logistica/"/>
    </mc:Choice>
  </mc:AlternateContent>
  <xr:revisionPtr revIDLastSave="11" documentId="11_ABACD7DDFBBF35A3ACFF1197F6DADD03964B2746" xr6:coauthVersionLast="47" xr6:coauthVersionMax="47" xr10:uidLastSave="{7BE30F84-CECE-4AE4-AE3C-01B5F6B983D5}"/>
  <bookViews>
    <workbookView xWindow="-108" yWindow="-108" windowWidth="23256" windowHeight="12456" xr2:uid="{00000000-000D-0000-FFFF-FFFF00000000}"/>
  </bookViews>
  <sheets>
    <sheet name="Carlos Acevedo" sheetId="1" r:id="rId1"/>
    <sheet name="Samuel Inostroza" sheetId="2" r:id="rId2"/>
    <sheet name="Cristian Lizama" sheetId="3" r:id="rId3"/>
    <sheet name="Pablo Villarroel" sheetId="6" r:id="rId4"/>
    <sheet name="Mauricio Picart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7" l="1"/>
  <c r="D35" i="7"/>
  <c r="D36" i="7" s="1"/>
  <c r="B3" i="7"/>
  <c r="D3" i="7" s="1"/>
  <c r="B3" i="6"/>
  <c r="D3" i="6"/>
  <c r="D35" i="6"/>
  <c r="D36" i="6" s="1"/>
  <c r="E35" i="6"/>
  <c r="E35" i="3"/>
  <c r="D35" i="3"/>
  <c r="D36" i="3" s="1"/>
  <c r="B3" i="3"/>
  <c r="D3" i="3" s="1"/>
  <c r="E35" i="2"/>
  <c r="D35" i="2"/>
  <c r="D36" i="2" s="1"/>
  <c r="B3" i="2"/>
  <c r="D3" i="2" s="1"/>
  <c r="E35" i="1"/>
  <c r="D35" i="1"/>
  <c r="D36" i="1" s="1"/>
  <c r="D3" i="1"/>
  <c r="B3" i="1"/>
</calcChain>
</file>

<file path=xl/sharedStrings.xml><?xml version="1.0" encoding="utf-8"?>
<sst xmlns="http://schemas.openxmlformats.org/spreadsheetml/2006/main" count="415" uniqueCount="161">
  <si>
    <t>Planificacion mensual - Carlos Acevedo</t>
  </si>
  <si>
    <t>Periodo</t>
  </si>
  <si>
    <t>Junio</t>
  </si>
  <si>
    <t>Tope mensual km</t>
  </si>
  <si>
    <t>Km planificados</t>
  </si>
  <si>
    <t>Km disponibles</t>
  </si>
  <si>
    <t>Dia</t>
  </si>
  <si>
    <t>Fecha</t>
  </si>
  <si>
    <t>Ruta</t>
  </si>
  <si>
    <t>KLM</t>
  </si>
  <si>
    <t>Clientes (Minimos)</t>
  </si>
  <si>
    <t>Lunes</t>
  </si>
  <si>
    <t>01-06-2026</t>
  </si>
  <si>
    <t>Faustino Gonzalez</t>
  </si>
  <si>
    <t>Martes</t>
  </si>
  <si>
    <t>02-06-2026</t>
  </si>
  <si>
    <t>Los Conquistadores</t>
  </si>
  <si>
    <t>Miercoles</t>
  </si>
  <si>
    <t>03-06-2026</t>
  </si>
  <si>
    <t>Universidad de Talca</t>
  </si>
  <si>
    <t>Jueves</t>
  </si>
  <si>
    <t>04-06-2026</t>
  </si>
  <si>
    <t>Avenida Lircay</t>
  </si>
  <si>
    <t>Viernes</t>
  </si>
  <si>
    <t>05-06-2026</t>
  </si>
  <si>
    <t>Nueva Holanda</t>
  </si>
  <si>
    <t>Sabado</t>
  </si>
  <si>
    <t>06-06-2026</t>
  </si>
  <si>
    <t>Domingo</t>
  </si>
  <si>
    <t>07-06-2026</t>
  </si>
  <si>
    <t>08-06-2026</t>
  </si>
  <si>
    <t>Mall Plaza Talca</t>
  </si>
  <si>
    <t>09-06-2026</t>
  </si>
  <si>
    <t>Mercado Central</t>
  </si>
  <si>
    <t>10-06-2026</t>
  </si>
  <si>
    <t>Cooperativa Lircay</t>
  </si>
  <si>
    <t>11-06-2026</t>
  </si>
  <si>
    <t>San Miguel del Piduco</t>
  </si>
  <si>
    <t>12-06-2026</t>
  </si>
  <si>
    <t>Talca Centro</t>
  </si>
  <si>
    <t>13-06-2026</t>
  </si>
  <si>
    <t>14-06-2026</t>
  </si>
  <si>
    <t>15-06-2026</t>
  </si>
  <si>
    <t>Centro Oriente</t>
  </si>
  <si>
    <t>16-06-2026</t>
  </si>
  <si>
    <t>Abate Molina Sur</t>
  </si>
  <si>
    <t>17-06-2026</t>
  </si>
  <si>
    <t>Barrio Norte</t>
  </si>
  <si>
    <t>18-06-2026</t>
  </si>
  <si>
    <t>Santa Ana Crea</t>
  </si>
  <si>
    <t>19-06-2026</t>
  </si>
  <si>
    <t>Supermercados Talca</t>
  </si>
  <si>
    <t>20-06-2026</t>
  </si>
  <si>
    <t>21-06-2026</t>
  </si>
  <si>
    <t>22-06-2026</t>
  </si>
  <si>
    <t>San Clemente</t>
  </si>
  <si>
    <t>23-06-2026</t>
  </si>
  <si>
    <t>Chile Nuevo</t>
  </si>
  <si>
    <t>24-06-2026</t>
  </si>
  <si>
    <t>Cancha Carreras</t>
  </si>
  <si>
    <t>25-06-2026</t>
  </si>
  <si>
    <t>Orilla de Maule</t>
  </si>
  <si>
    <t>26-06-2026</t>
  </si>
  <si>
    <t>Linares Centro</t>
  </si>
  <si>
    <t>27-06-2026</t>
  </si>
  <si>
    <t>28-06-2026</t>
  </si>
  <si>
    <t>29-06-2026</t>
  </si>
  <si>
    <t>Feriado</t>
  </si>
  <si>
    <t>30-06-2026</t>
  </si>
  <si>
    <t>Linares Centro Oriente</t>
  </si>
  <si>
    <t>Total mensual</t>
  </si>
  <si>
    <t>Planificacion mensual - Samuel Inostroza</t>
  </si>
  <si>
    <t>Centro Plaza</t>
  </si>
  <si>
    <t>Centro Norte</t>
  </si>
  <si>
    <t>Feria - Mall - Terminal</t>
  </si>
  <si>
    <t>El Boldo</t>
  </si>
  <si>
    <t>Aguas Negras</t>
  </si>
  <si>
    <t>Guaiquillo - Aguas Negras</t>
  </si>
  <si>
    <t>Hospital - Alameda - Mataquito</t>
  </si>
  <si>
    <t>Santa Fe</t>
  </si>
  <si>
    <t>Santa Lucia - Santos Martínez</t>
  </si>
  <si>
    <t>Bombero Garrido - Vaticano</t>
  </si>
  <si>
    <t>Sarmiento - Rauquen</t>
  </si>
  <si>
    <t>Bombero Garrido - Tutuquen</t>
  </si>
  <si>
    <t>Carretera Rauquen - Avda. España</t>
  </si>
  <si>
    <t>Lontue - Pichingal - Casa Blanca</t>
  </si>
  <si>
    <t>Los Niches</t>
  </si>
  <si>
    <t>Villa Prat - Sagrada Familia</t>
  </si>
  <si>
    <t>La Montaña - Teno - Viluco</t>
  </si>
  <si>
    <t>Hualañe</t>
  </si>
  <si>
    <t>Licantén</t>
  </si>
  <si>
    <t>Lora - Curepto</t>
  </si>
  <si>
    <t>Curepto</t>
  </si>
  <si>
    <t>Planificacion mensual - Cristian Lizama</t>
  </si>
  <si>
    <t>SAN FDO. - MANSO DE VELASCO</t>
  </si>
  <si>
    <t>SAN FDO. TERMINAL</t>
  </si>
  <si>
    <t>SAN FDO. CENTRO - PLAZA</t>
  </si>
  <si>
    <t>SAN FDO, - GABRIELA MISTRAL</t>
  </si>
  <si>
    <t>SAN FDO. - INDEPENDENCIA</t>
  </si>
  <si>
    <t>SAN FDO. - NOR PONIENTE</t>
  </si>
  <si>
    <t>STA CRUZ TERMINAL</t>
  </si>
  <si>
    <t>VILLA ALEGRE - LA TUNA</t>
  </si>
  <si>
    <t>CHIMBARONGO  CENTRO</t>
  </si>
  <si>
    <t>CHIMBARONGO CENTRO PTE.</t>
  </si>
  <si>
    <t>PLACILLA</t>
  </si>
  <si>
    <t>NANCAGUA -CENTRO</t>
  </si>
  <si>
    <t>NANCAGUA - SAN GREGORIO</t>
  </si>
  <si>
    <t>ROMERAL - SAN JUAN - TINGURIRICA</t>
  </si>
  <si>
    <t>APALTA - PANIAHUE</t>
  </si>
  <si>
    <t>PERALILLO</t>
  </si>
  <si>
    <t>LOLOL - LA LAJUELA</t>
  </si>
  <si>
    <t>MARCGIHUE</t>
  </si>
  <si>
    <t>PAREDONES - LOLOL</t>
  </si>
  <si>
    <t>PICHILEMU -ALCONES</t>
  </si>
  <si>
    <t>PICHILEMU - CENTRO</t>
  </si>
  <si>
    <t>Villa la Paz</t>
  </si>
  <si>
    <t>Cancha Rayada</t>
  </si>
  <si>
    <t>Don Sebastian</t>
  </si>
  <si>
    <t>Don Arturo</t>
  </si>
  <si>
    <t>Rembrand</t>
  </si>
  <si>
    <t>B. Oriente - Hospital</t>
  </si>
  <si>
    <t>Parque Industrial</t>
  </si>
  <si>
    <t>Alameda Sur</t>
  </si>
  <si>
    <t>Galilea - Doña Ignacia</t>
  </si>
  <si>
    <t>Doña Ignacia - Villa Ecuador</t>
  </si>
  <si>
    <t>San Luis</t>
  </si>
  <si>
    <t>J. Flor del Este</t>
  </si>
  <si>
    <t>Carlos Trupp</t>
  </si>
  <si>
    <t>Jardin del Valle</t>
  </si>
  <si>
    <t>Magisterio</t>
  </si>
  <si>
    <t>Centro Poniente</t>
  </si>
  <si>
    <t>Santa Teresita Colin</t>
  </si>
  <si>
    <t>Culenar</t>
  </si>
  <si>
    <t>Las Rastras</t>
  </si>
  <si>
    <t>Camino San Clemente</t>
  </si>
  <si>
    <t>Linares: Nemecio Antunes</t>
  </si>
  <si>
    <t>Linares: Oriente</t>
  </si>
  <si>
    <t>Linares: Melozal</t>
  </si>
  <si>
    <t>Villa Alegre</t>
  </si>
  <si>
    <t>Linares: Salida Cuellar centro sur</t>
  </si>
  <si>
    <t>Linares: Obispo Camus - Yerbas Buenas</t>
  </si>
  <si>
    <t>Linares: San Antonio</t>
  </si>
  <si>
    <t>Linares: Pob. La 35</t>
  </si>
  <si>
    <t>Sábado</t>
  </si>
  <si>
    <t>Linares: Palmilla, La Obra</t>
  </si>
  <si>
    <t>Miércoles</t>
  </si>
  <si>
    <t>Estación</t>
  </si>
  <si>
    <t>Balmaceda</t>
  </si>
  <si>
    <t>Linares: El Esfuerzo, Los Castaños</t>
  </si>
  <si>
    <t>Panguilemo</t>
  </si>
  <si>
    <t>Pelarco</t>
  </si>
  <si>
    <t>El Tabaco</t>
  </si>
  <si>
    <t>Brilla el Sol, Daniel Rebolledo</t>
  </si>
  <si>
    <t>Día</t>
  </si>
  <si>
    <t>Planificación mensual - Mauricio Picart</t>
  </si>
  <si>
    <t>Villa Eden - Independencia</t>
  </si>
  <si>
    <t>Doña Consuelo</t>
  </si>
  <si>
    <t>San Maximo</t>
  </si>
  <si>
    <t>El Colorado</t>
  </si>
  <si>
    <t>San Rafael</t>
  </si>
  <si>
    <t>Camarico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</si>
</sst>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3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sz val="10"/>
      <color rgb="FF888888"/>
      <name val="Arial"/>
      <family val="2"/>
    </font>
    <font>
      <b/>
      <sz val="10"/>
      <color rgb="FFFF0000"/>
      <name val="Arial"/>
      <family val="2"/>
    </font>
    <font>
      <sz val="11"/>
      <name val="Carlito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mbria"/>
      <family val="2"/>
      <scheme val="major"/>
    </font>
    <font>
      <b/>
      <sz val="15"/>
      <color rgb="FF1F2937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8FAFC"/>
      </patternFill>
    </fill>
    <fill>
      <patternFill patternType="solid">
        <fgColor theme="2"/>
        <bgColor indexed="64"/>
      </patternFill>
    </fill>
    <fill>
      <patternFill patternType="solid">
        <fgColor rgb="FFDDEBF7"/>
      </patternFill>
    </fill>
    <fill>
      <patternFill patternType="solid">
        <fgColor rgb="FFEAF2F8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8" fillId="0" borderId="0" xfId="1"/>
    <xf numFmtId="0" fontId="9" fillId="7" borderId="2" xfId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0" fontId="8" fillId="0" borderId="0" xfId="1" applyAlignment="1">
      <alignment horizontal="center"/>
    </xf>
    <xf numFmtId="0" fontId="10" fillId="8" borderId="3" xfId="1" applyFont="1" applyFill="1" applyBorder="1" applyAlignment="1">
      <alignment horizontal="center" vertical="center"/>
    </xf>
    <xf numFmtId="1" fontId="10" fillId="8" borderId="3" xfId="1" applyNumberFormat="1" applyFont="1" applyFill="1" applyBorder="1" applyAlignment="1">
      <alignment horizontal="center" vertical="center"/>
    </xf>
    <xf numFmtId="164" fontId="10" fillId="8" borderId="3" xfId="1" applyNumberFormat="1" applyFont="1" applyFill="1" applyBorder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1" fontId="9" fillId="9" borderId="4" xfId="1" applyNumberFormat="1" applyFont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1" fontId="9" fillId="7" borderId="6" xfId="1" applyNumberFormat="1" applyFont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center" vertical="center"/>
    </xf>
    <xf numFmtId="0" fontId="9" fillId="7" borderId="7" xfId="1" applyFont="1" applyFill="1" applyBorder="1" applyAlignment="1">
      <alignment horizontal="center" vertical="center"/>
    </xf>
    <xf numFmtId="0" fontId="9" fillId="7" borderId="8" xfId="1" applyFont="1" applyFill="1" applyBorder="1" applyAlignment="1">
      <alignment horizontal="center" vertical="center"/>
    </xf>
    <xf numFmtId="1" fontId="9" fillId="7" borderId="9" xfId="1" applyNumberFormat="1" applyFont="1" applyFill="1" applyBorder="1" applyAlignment="1">
      <alignment horizontal="center" vertical="center"/>
    </xf>
    <xf numFmtId="0" fontId="9" fillId="7" borderId="9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center" vertical="center"/>
    </xf>
    <xf numFmtId="0" fontId="12" fillId="10" borderId="0" xfId="1" applyFont="1" applyFill="1" applyAlignment="1">
      <alignment horizontal="center" vertical="center"/>
    </xf>
    <xf numFmtId="0" fontId="8" fillId="0" borderId="0" xfId="1" applyFill="1"/>
    <xf numFmtId="0" fontId="11" fillId="0" borderId="0" xfId="1" applyFont="1" applyFill="1"/>
    <xf numFmtId="0" fontId="11" fillId="0" borderId="0" xfId="1" applyFont="1" applyFill="1" applyAlignment="1">
      <alignment horizontal="center"/>
    </xf>
    <xf numFmtId="0" fontId="8" fillId="0" borderId="0" xfId="1" applyFill="1" applyAlignment="1">
      <alignment horizontal="center"/>
    </xf>
  </cellXfs>
  <cellStyles count="2">
    <cellStyle name="Normal" xfId="0" builtinId="0"/>
    <cellStyle name="Normal 2" xfId="1" xr:uid="{BCBB9461-8B52-43C9-8814-6E1B29144F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C9" sqref="C9"/>
    </sheetView>
  </sheetViews>
  <sheetFormatPr baseColWidth="10" defaultColWidth="8.88671875" defaultRowHeight="14.4"/>
  <cols>
    <col min="1" max="1" width="14.77734375" bestFit="1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>
      <c r="A1" s="17" t="s">
        <v>0</v>
      </c>
      <c r="B1" s="18"/>
      <c r="C1" s="18"/>
      <c r="D1" s="18"/>
      <c r="E1" s="18"/>
    </row>
    <row r="2" spans="1:5" ht="18" customHeight="1">
      <c r="A2" s="1" t="s">
        <v>1</v>
      </c>
      <c r="B2" s="2" t="s">
        <v>2</v>
      </c>
      <c r="C2" s="1" t="s">
        <v>3</v>
      </c>
      <c r="D2" s="3">
        <v>1446</v>
      </c>
      <c r="E2" s="2"/>
    </row>
    <row r="3" spans="1:5" ht="18" customHeight="1">
      <c r="A3" s="1" t="s">
        <v>4</v>
      </c>
      <c r="B3" s="3">
        <f>SUM(D5:D34)</f>
        <v>1589</v>
      </c>
      <c r="C3" s="1" t="s">
        <v>5</v>
      </c>
      <c r="D3" s="4">
        <f>D2-B3</f>
        <v>-143</v>
      </c>
      <c r="E3" s="2"/>
    </row>
    <row r="4" spans="1:5" ht="18" customHeight="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>
      <c r="A5" s="2" t="s">
        <v>11</v>
      </c>
      <c r="B5" s="2" t="s">
        <v>12</v>
      </c>
      <c r="C5" s="6" t="s">
        <v>13</v>
      </c>
      <c r="D5" s="3">
        <v>50</v>
      </c>
      <c r="E5" s="2">
        <v>15</v>
      </c>
    </row>
    <row r="6" spans="1:5" ht="16.05" customHeight="1">
      <c r="A6" s="2" t="s">
        <v>14</v>
      </c>
      <c r="B6" s="2" t="s">
        <v>15</v>
      </c>
      <c r="C6" s="6" t="s">
        <v>16</v>
      </c>
      <c r="D6" s="3">
        <v>50</v>
      </c>
      <c r="E6" s="2">
        <v>15</v>
      </c>
    </row>
    <row r="7" spans="1:5" ht="16.05" customHeight="1">
      <c r="A7" s="2" t="s">
        <v>17</v>
      </c>
      <c r="B7" s="2" t="s">
        <v>18</v>
      </c>
      <c r="C7" s="6" t="s">
        <v>19</v>
      </c>
      <c r="D7" s="3">
        <v>55</v>
      </c>
      <c r="E7" s="2">
        <v>15</v>
      </c>
    </row>
    <row r="8" spans="1:5" ht="16.05" customHeight="1">
      <c r="A8" s="2" t="s">
        <v>20</v>
      </c>
      <c r="B8" s="2" t="s">
        <v>21</v>
      </c>
      <c r="C8" s="6" t="s">
        <v>22</v>
      </c>
      <c r="D8" s="3">
        <v>55</v>
      </c>
      <c r="E8" s="2">
        <v>15</v>
      </c>
    </row>
    <row r="9" spans="1:5" ht="16.05" customHeight="1">
      <c r="A9" s="2" t="s">
        <v>23</v>
      </c>
      <c r="B9" s="2" t="s">
        <v>24</v>
      </c>
      <c r="C9" s="6" t="s">
        <v>25</v>
      </c>
      <c r="D9" s="3">
        <v>60</v>
      </c>
      <c r="E9" s="2">
        <v>15</v>
      </c>
    </row>
    <row r="10" spans="1:5" ht="16.05" customHeight="1">
      <c r="A10" s="7" t="s">
        <v>26</v>
      </c>
      <c r="B10" s="7" t="s">
        <v>27</v>
      </c>
      <c r="C10" s="8"/>
      <c r="D10" s="9"/>
      <c r="E10" s="7"/>
    </row>
    <row r="11" spans="1:5" ht="16.05" customHeight="1">
      <c r="A11" s="7" t="s">
        <v>28</v>
      </c>
      <c r="B11" s="7" t="s">
        <v>29</v>
      </c>
      <c r="C11" s="8"/>
      <c r="D11" s="9"/>
      <c r="E11" s="7"/>
    </row>
    <row r="12" spans="1:5" ht="16.05" customHeight="1">
      <c r="A12" s="2" t="s">
        <v>11</v>
      </c>
      <c r="B12" s="2" t="s">
        <v>30</v>
      </c>
      <c r="C12" s="6" t="s">
        <v>31</v>
      </c>
      <c r="D12" s="3">
        <v>60</v>
      </c>
      <c r="E12" s="2">
        <v>15</v>
      </c>
    </row>
    <row r="13" spans="1:5" ht="16.05" customHeight="1">
      <c r="A13" s="2" t="s">
        <v>14</v>
      </c>
      <c r="B13" s="2" t="s">
        <v>32</v>
      </c>
      <c r="C13" s="6" t="s">
        <v>33</v>
      </c>
      <c r="D13" s="3">
        <v>60</v>
      </c>
      <c r="E13" s="2">
        <v>15</v>
      </c>
    </row>
    <row r="14" spans="1:5" ht="16.05" customHeight="1">
      <c r="A14" s="2" t="s">
        <v>17</v>
      </c>
      <c r="B14" s="2" t="s">
        <v>34</v>
      </c>
      <c r="C14" s="6" t="s">
        <v>35</v>
      </c>
      <c r="D14" s="3">
        <v>60</v>
      </c>
      <c r="E14" s="2">
        <v>15</v>
      </c>
    </row>
    <row r="15" spans="1:5" ht="16.05" customHeight="1">
      <c r="A15" s="2" t="s">
        <v>20</v>
      </c>
      <c r="B15" s="2" t="s">
        <v>36</v>
      </c>
      <c r="C15" s="6" t="s">
        <v>37</v>
      </c>
      <c r="D15" s="3">
        <v>60</v>
      </c>
      <c r="E15" s="2">
        <v>15</v>
      </c>
    </row>
    <row r="16" spans="1:5" ht="16.05" customHeight="1">
      <c r="A16" s="2" t="s">
        <v>23</v>
      </c>
      <c r="B16" s="2" t="s">
        <v>38</v>
      </c>
      <c r="C16" s="6" t="s">
        <v>39</v>
      </c>
      <c r="D16" s="3">
        <v>65</v>
      </c>
      <c r="E16" s="2">
        <v>15</v>
      </c>
    </row>
    <row r="17" spans="1:5" ht="16.05" customHeight="1">
      <c r="A17" s="7" t="s">
        <v>26</v>
      </c>
      <c r="B17" s="7" t="s">
        <v>40</v>
      </c>
      <c r="C17" s="8"/>
      <c r="D17" s="9"/>
      <c r="E17" s="7"/>
    </row>
    <row r="18" spans="1:5" ht="16.05" customHeight="1">
      <c r="A18" s="7" t="s">
        <v>28</v>
      </c>
      <c r="B18" s="7" t="s">
        <v>41</v>
      </c>
      <c r="C18" s="8"/>
      <c r="D18" s="9"/>
      <c r="E18" s="7"/>
    </row>
    <row r="19" spans="1:5" ht="16.05" customHeight="1">
      <c r="A19" s="2" t="s">
        <v>11</v>
      </c>
      <c r="B19" s="2" t="s">
        <v>42</v>
      </c>
      <c r="C19" s="6" t="s">
        <v>43</v>
      </c>
      <c r="D19" s="3">
        <v>65</v>
      </c>
      <c r="E19" s="2">
        <v>15</v>
      </c>
    </row>
    <row r="20" spans="1:5" ht="16.05" customHeight="1">
      <c r="A20" s="2" t="s">
        <v>14</v>
      </c>
      <c r="B20" s="2" t="s">
        <v>44</v>
      </c>
      <c r="C20" s="6" t="s">
        <v>45</v>
      </c>
      <c r="D20" s="3">
        <v>65</v>
      </c>
      <c r="E20" s="2">
        <v>15</v>
      </c>
    </row>
    <row r="21" spans="1:5" ht="16.05" customHeight="1">
      <c r="A21" s="2" t="s">
        <v>17</v>
      </c>
      <c r="B21" s="2" t="s">
        <v>46</v>
      </c>
      <c r="C21" s="6" t="s">
        <v>47</v>
      </c>
      <c r="D21" s="3">
        <v>65</v>
      </c>
      <c r="E21" s="2">
        <v>15</v>
      </c>
    </row>
    <row r="22" spans="1:5" ht="16.05" customHeight="1">
      <c r="A22" s="2" t="s">
        <v>20</v>
      </c>
      <c r="B22" s="2" t="s">
        <v>48</v>
      </c>
      <c r="C22" s="6" t="s">
        <v>49</v>
      </c>
      <c r="D22" s="3">
        <v>65</v>
      </c>
      <c r="E22" s="2">
        <v>15</v>
      </c>
    </row>
    <row r="23" spans="1:5" ht="16.05" customHeight="1">
      <c r="A23" s="2" t="s">
        <v>23</v>
      </c>
      <c r="B23" s="2" t="s">
        <v>50</v>
      </c>
      <c r="C23" s="6" t="s">
        <v>51</v>
      </c>
      <c r="D23" s="3">
        <v>65</v>
      </c>
      <c r="E23" s="2">
        <v>15</v>
      </c>
    </row>
    <row r="24" spans="1:5" ht="16.05" customHeight="1">
      <c r="A24" s="7" t="s">
        <v>26</v>
      </c>
      <c r="B24" s="7" t="s">
        <v>52</v>
      </c>
      <c r="C24" s="8"/>
      <c r="D24" s="9"/>
      <c r="E24" s="7"/>
    </row>
    <row r="25" spans="1:5" ht="16.05" customHeight="1">
      <c r="A25" s="7" t="s">
        <v>28</v>
      </c>
      <c r="B25" s="7" t="s">
        <v>53</v>
      </c>
      <c r="C25" s="8"/>
      <c r="D25" s="9"/>
      <c r="E25" s="7"/>
    </row>
    <row r="26" spans="1:5" ht="16.05" customHeight="1">
      <c r="A26" s="2" t="s">
        <v>11</v>
      </c>
      <c r="B26" s="2" t="s">
        <v>54</v>
      </c>
      <c r="C26" s="6" t="s">
        <v>55</v>
      </c>
      <c r="D26" s="3">
        <v>85</v>
      </c>
      <c r="E26" s="2">
        <v>15</v>
      </c>
    </row>
    <row r="27" spans="1:5" ht="16.05" customHeight="1">
      <c r="A27" s="2" t="s">
        <v>14</v>
      </c>
      <c r="B27" s="2" t="s">
        <v>56</v>
      </c>
      <c r="C27" s="6" t="s">
        <v>57</v>
      </c>
      <c r="D27" s="3">
        <v>85</v>
      </c>
      <c r="E27" s="2">
        <v>15</v>
      </c>
    </row>
    <row r="28" spans="1:5" ht="16.05" customHeight="1">
      <c r="A28" s="2" t="s">
        <v>17</v>
      </c>
      <c r="B28" s="2" t="s">
        <v>58</v>
      </c>
      <c r="C28" s="6" t="s">
        <v>59</v>
      </c>
      <c r="D28" s="3">
        <v>89</v>
      </c>
      <c r="E28" s="2">
        <v>15</v>
      </c>
    </row>
    <row r="29" spans="1:5" ht="16.05" customHeight="1">
      <c r="A29" s="2" t="s">
        <v>20</v>
      </c>
      <c r="B29" s="2" t="s">
        <v>60</v>
      </c>
      <c r="C29" s="6" t="s">
        <v>61</v>
      </c>
      <c r="D29" s="3">
        <v>130</v>
      </c>
      <c r="E29" s="2">
        <v>15</v>
      </c>
    </row>
    <row r="30" spans="1:5" ht="16.05" customHeight="1">
      <c r="A30" s="2" t="s">
        <v>23</v>
      </c>
      <c r="B30" s="2" t="s">
        <v>62</v>
      </c>
      <c r="C30" s="6" t="s">
        <v>63</v>
      </c>
      <c r="D30" s="3">
        <v>150</v>
      </c>
      <c r="E30" s="2">
        <v>15</v>
      </c>
    </row>
    <row r="31" spans="1:5" ht="16.05" customHeight="1">
      <c r="A31" s="7" t="s">
        <v>26</v>
      </c>
      <c r="B31" s="7" t="s">
        <v>64</v>
      </c>
      <c r="C31" s="8"/>
      <c r="D31" s="9"/>
      <c r="E31" s="7"/>
    </row>
    <row r="32" spans="1:5" ht="16.05" customHeight="1">
      <c r="A32" s="7" t="s">
        <v>28</v>
      </c>
      <c r="B32" s="7" t="s">
        <v>65</v>
      </c>
      <c r="C32" s="8"/>
      <c r="D32" s="9"/>
      <c r="E32" s="7"/>
    </row>
    <row r="33" spans="1:5" ht="16.05" customHeight="1">
      <c r="A33" s="7" t="s">
        <v>11</v>
      </c>
      <c r="B33" s="7" t="s">
        <v>66</v>
      </c>
      <c r="C33" s="10" t="s">
        <v>67</v>
      </c>
      <c r="D33" s="9"/>
      <c r="E33" s="7"/>
    </row>
    <row r="34" spans="1:5" ht="16.05" customHeight="1">
      <c r="A34" s="2" t="s">
        <v>14</v>
      </c>
      <c r="B34" s="2" t="s">
        <v>68</v>
      </c>
      <c r="C34" s="6" t="s">
        <v>69</v>
      </c>
      <c r="D34" s="3">
        <v>150</v>
      </c>
      <c r="E34" s="2">
        <v>15</v>
      </c>
    </row>
    <row r="35" spans="1:5" ht="18" customHeight="1">
      <c r="A35" s="11" t="s">
        <v>70</v>
      </c>
      <c r="B35" s="12"/>
      <c r="C35" s="12"/>
      <c r="D35" s="13">
        <f>SUM(D5:D34)</f>
        <v>1589</v>
      </c>
      <c r="E35" s="13">
        <f>SUM(E5:E34)</f>
        <v>315</v>
      </c>
    </row>
    <row r="36" spans="1:5" ht="18" customHeight="1">
      <c r="A36" s="14" t="s">
        <v>5</v>
      </c>
      <c r="B36" s="15"/>
      <c r="C36" s="15"/>
      <c r="D36" s="16">
        <f>D2-D35</f>
        <v>-143</v>
      </c>
      <c r="E36" s="15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sqref="A1:E1"/>
    </sheetView>
  </sheetViews>
  <sheetFormatPr baseColWidth="10" defaultColWidth="8.88671875" defaultRowHeight="14.4"/>
  <cols>
    <col min="1" max="1" width="14.77734375" bestFit="1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>
      <c r="A1" s="17" t="s">
        <v>71</v>
      </c>
      <c r="B1" s="18"/>
      <c r="C1" s="18"/>
      <c r="D1" s="18"/>
      <c r="E1" s="18"/>
    </row>
    <row r="2" spans="1:5" ht="18" customHeight="1">
      <c r="A2" s="1" t="s">
        <v>1</v>
      </c>
      <c r="B2" s="2" t="s">
        <v>2</v>
      </c>
      <c r="C2" s="1" t="s">
        <v>3</v>
      </c>
      <c r="D2" s="3">
        <v>2209</v>
      </c>
      <c r="E2" s="2"/>
    </row>
    <row r="3" spans="1:5" ht="18" customHeight="1">
      <c r="A3" s="1" t="s">
        <v>4</v>
      </c>
      <c r="B3" s="3">
        <f>SUM(D5:D34)</f>
        <v>2429</v>
      </c>
      <c r="C3" s="1" t="s">
        <v>5</v>
      </c>
      <c r="D3" s="4">
        <f>D2-B3</f>
        <v>-220</v>
      </c>
      <c r="E3" s="2"/>
    </row>
    <row r="4" spans="1:5" ht="18" customHeight="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>
      <c r="A5" s="2" t="s">
        <v>11</v>
      </c>
      <c r="B5" s="2" t="s">
        <v>12</v>
      </c>
      <c r="C5" s="6" t="s">
        <v>72</v>
      </c>
      <c r="D5" s="3">
        <v>47</v>
      </c>
      <c r="E5" s="2">
        <v>15</v>
      </c>
    </row>
    <row r="6" spans="1:5" ht="16.05" customHeight="1">
      <c r="A6" s="2" t="s">
        <v>14</v>
      </c>
      <c r="B6" s="2" t="s">
        <v>15</v>
      </c>
      <c r="C6" s="6" t="s">
        <v>73</v>
      </c>
      <c r="D6" s="3">
        <v>47</v>
      </c>
      <c r="E6" s="2">
        <v>15</v>
      </c>
    </row>
    <row r="7" spans="1:5" ht="16.05" customHeight="1">
      <c r="A7" s="2" t="s">
        <v>17</v>
      </c>
      <c r="B7" s="2" t="s">
        <v>18</v>
      </c>
      <c r="C7" s="6" t="s">
        <v>74</v>
      </c>
      <c r="D7" s="3">
        <v>47</v>
      </c>
      <c r="E7" s="2">
        <v>15</v>
      </c>
    </row>
    <row r="8" spans="1:5" ht="16.05" customHeight="1">
      <c r="A8" s="2" t="s">
        <v>20</v>
      </c>
      <c r="B8" s="2" t="s">
        <v>21</v>
      </c>
      <c r="C8" s="6" t="s">
        <v>75</v>
      </c>
      <c r="D8" s="3">
        <v>59</v>
      </c>
      <c r="E8" s="2">
        <v>15</v>
      </c>
    </row>
    <row r="9" spans="1:5" ht="16.05" customHeight="1">
      <c r="A9" s="2" t="s">
        <v>23</v>
      </c>
      <c r="B9" s="2" t="s">
        <v>24</v>
      </c>
      <c r="C9" s="6" t="s">
        <v>76</v>
      </c>
      <c r="D9" s="3">
        <v>59</v>
      </c>
      <c r="E9" s="2">
        <v>15</v>
      </c>
    </row>
    <row r="10" spans="1:5" ht="16.05" customHeight="1">
      <c r="A10" s="7" t="s">
        <v>26</v>
      </c>
      <c r="B10" s="7" t="s">
        <v>27</v>
      </c>
      <c r="C10" s="8"/>
      <c r="D10" s="9"/>
      <c r="E10" s="7"/>
    </row>
    <row r="11" spans="1:5" ht="16.05" customHeight="1">
      <c r="A11" s="7" t="s">
        <v>28</v>
      </c>
      <c r="B11" s="7" t="s">
        <v>29</v>
      </c>
      <c r="C11" s="8"/>
      <c r="D11" s="9"/>
      <c r="E11" s="7"/>
    </row>
    <row r="12" spans="1:5" ht="16.05" customHeight="1">
      <c r="A12" s="2" t="s">
        <v>11</v>
      </c>
      <c r="B12" s="2" t="s">
        <v>30</v>
      </c>
      <c r="C12" s="6" t="s">
        <v>77</v>
      </c>
      <c r="D12" s="3">
        <v>63</v>
      </c>
      <c r="E12" s="2">
        <v>15</v>
      </c>
    </row>
    <row r="13" spans="1:5" ht="16.05" customHeight="1">
      <c r="A13" s="2" t="s">
        <v>14</v>
      </c>
      <c r="B13" s="2" t="s">
        <v>32</v>
      </c>
      <c r="C13" s="6" t="s">
        <v>78</v>
      </c>
      <c r="D13" s="3">
        <v>68</v>
      </c>
      <c r="E13" s="2">
        <v>15</v>
      </c>
    </row>
    <row r="14" spans="1:5" ht="16.05" customHeight="1">
      <c r="A14" s="2" t="s">
        <v>17</v>
      </c>
      <c r="B14" s="2" t="s">
        <v>34</v>
      </c>
      <c r="C14" s="6" t="s">
        <v>79</v>
      </c>
      <c r="D14" s="3">
        <v>69</v>
      </c>
      <c r="E14" s="2">
        <v>15</v>
      </c>
    </row>
    <row r="15" spans="1:5" ht="16.05" customHeight="1">
      <c r="A15" s="2" t="s">
        <v>20</v>
      </c>
      <c r="B15" s="2" t="s">
        <v>36</v>
      </c>
      <c r="C15" s="6" t="s">
        <v>80</v>
      </c>
      <c r="D15" s="3">
        <v>69</v>
      </c>
      <c r="E15" s="2">
        <v>15</v>
      </c>
    </row>
    <row r="16" spans="1:5" ht="16.05" customHeight="1">
      <c r="A16" s="2" t="s">
        <v>23</v>
      </c>
      <c r="B16" s="2" t="s">
        <v>38</v>
      </c>
      <c r="C16" s="6" t="s">
        <v>81</v>
      </c>
      <c r="D16" s="3">
        <v>78</v>
      </c>
      <c r="E16" s="2">
        <v>15</v>
      </c>
    </row>
    <row r="17" spans="1:5" ht="16.05" customHeight="1">
      <c r="A17" s="7" t="s">
        <v>26</v>
      </c>
      <c r="B17" s="7" t="s">
        <v>40</v>
      </c>
      <c r="C17" s="8"/>
      <c r="D17" s="9"/>
      <c r="E17" s="7"/>
    </row>
    <row r="18" spans="1:5" ht="16.05" customHeight="1">
      <c r="A18" s="7" t="s">
        <v>28</v>
      </c>
      <c r="B18" s="7" t="s">
        <v>41</v>
      </c>
      <c r="C18" s="8"/>
      <c r="D18" s="9"/>
      <c r="E18" s="7"/>
    </row>
    <row r="19" spans="1:5" ht="16.05" customHeight="1">
      <c r="A19" s="2" t="s">
        <v>11</v>
      </c>
      <c r="B19" s="2" t="s">
        <v>42</v>
      </c>
      <c r="C19" s="6" t="s">
        <v>82</v>
      </c>
      <c r="D19" s="3">
        <v>78</v>
      </c>
      <c r="E19" s="2">
        <v>15</v>
      </c>
    </row>
    <row r="20" spans="1:5" ht="16.05" customHeight="1">
      <c r="A20" s="2" t="s">
        <v>14</v>
      </c>
      <c r="B20" s="2" t="s">
        <v>44</v>
      </c>
      <c r="C20" s="6" t="s">
        <v>83</v>
      </c>
      <c r="D20" s="3">
        <v>98</v>
      </c>
      <c r="E20" s="2">
        <v>15</v>
      </c>
    </row>
    <row r="21" spans="1:5" ht="16.05" customHeight="1">
      <c r="A21" s="2" t="s">
        <v>17</v>
      </c>
      <c r="B21" s="2" t="s">
        <v>46</v>
      </c>
      <c r="C21" s="6" t="s">
        <v>84</v>
      </c>
      <c r="D21" s="3">
        <v>108</v>
      </c>
      <c r="E21" s="2">
        <v>15</v>
      </c>
    </row>
    <row r="22" spans="1:5" ht="16.05" customHeight="1">
      <c r="A22" s="2" t="s">
        <v>20</v>
      </c>
      <c r="B22" s="2" t="s">
        <v>48</v>
      </c>
      <c r="C22" s="6" t="s">
        <v>85</v>
      </c>
      <c r="D22" s="3">
        <v>108</v>
      </c>
      <c r="E22" s="2">
        <v>15</v>
      </c>
    </row>
    <row r="23" spans="1:5" ht="16.05" customHeight="1">
      <c r="A23" s="2" t="s">
        <v>23</v>
      </c>
      <c r="B23" s="2" t="s">
        <v>50</v>
      </c>
      <c r="C23" s="6" t="s">
        <v>86</v>
      </c>
      <c r="D23" s="3">
        <v>142</v>
      </c>
      <c r="E23" s="2">
        <v>15</v>
      </c>
    </row>
    <row r="24" spans="1:5" ht="16.05" customHeight="1">
      <c r="A24" s="7" t="s">
        <v>26</v>
      </c>
      <c r="B24" s="7" t="s">
        <v>52</v>
      </c>
      <c r="C24" s="8"/>
      <c r="D24" s="9"/>
      <c r="E24" s="7"/>
    </row>
    <row r="25" spans="1:5" ht="16.05" customHeight="1">
      <c r="A25" s="7" t="s">
        <v>28</v>
      </c>
      <c r="B25" s="7" t="s">
        <v>53</v>
      </c>
      <c r="C25" s="8"/>
      <c r="D25" s="9"/>
      <c r="E25" s="7"/>
    </row>
    <row r="26" spans="1:5" ht="16.05" customHeight="1">
      <c r="A26" s="2" t="s">
        <v>11</v>
      </c>
      <c r="B26" s="2" t="s">
        <v>54</v>
      </c>
      <c r="C26" s="6" t="s">
        <v>87</v>
      </c>
      <c r="D26" s="3">
        <v>148</v>
      </c>
      <c r="E26" s="2">
        <v>15</v>
      </c>
    </row>
    <row r="27" spans="1:5" ht="16.05" customHeight="1">
      <c r="A27" s="2" t="s">
        <v>14</v>
      </c>
      <c r="B27" s="2" t="s">
        <v>56</v>
      </c>
      <c r="C27" s="6" t="s">
        <v>88</v>
      </c>
      <c r="D27" s="3">
        <v>149</v>
      </c>
      <c r="E27" s="2">
        <v>15</v>
      </c>
    </row>
    <row r="28" spans="1:5" ht="16.05" customHeight="1">
      <c r="A28" s="2" t="s">
        <v>17</v>
      </c>
      <c r="B28" s="2" t="s">
        <v>58</v>
      </c>
      <c r="C28" s="6" t="s">
        <v>89</v>
      </c>
      <c r="D28" s="3">
        <v>184</v>
      </c>
      <c r="E28" s="2">
        <v>15</v>
      </c>
    </row>
    <row r="29" spans="1:5" ht="16.05" customHeight="1">
      <c r="A29" s="2" t="s">
        <v>20</v>
      </c>
      <c r="B29" s="2" t="s">
        <v>60</v>
      </c>
      <c r="C29" s="6" t="s">
        <v>90</v>
      </c>
      <c r="D29" s="3">
        <v>249</v>
      </c>
      <c r="E29" s="2">
        <v>15</v>
      </c>
    </row>
    <row r="30" spans="1:5" ht="16.05" customHeight="1">
      <c r="A30" s="2" t="s">
        <v>23</v>
      </c>
      <c r="B30" s="2" t="s">
        <v>62</v>
      </c>
      <c r="C30" s="6" t="s">
        <v>91</v>
      </c>
      <c r="D30" s="3">
        <v>272</v>
      </c>
      <c r="E30" s="2">
        <v>15</v>
      </c>
    </row>
    <row r="31" spans="1:5" ht="16.05" customHeight="1">
      <c r="A31" s="7" t="s">
        <v>26</v>
      </c>
      <c r="B31" s="7" t="s">
        <v>64</v>
      </c>
      <c r="C31" s="8"/>
      <c r="D31" s="9"/>
      <c r="E31" s="7"/>
    </row>
    <row r="32" spans="1:5" ht="16.05" customHeight="1">
      <c r="A32" s="7" t="s">
        <v>28</v>
      </c>
      <c r="B32" s="7" t="s">
        <v>65</v>
      </c>
      <c r="C32" s="8"/>
      <c r="D32" s="9"/>
      <c r="E32" s="7"/>
    </row>
    <row r="33" spans="1:5" ht="16.05" customHeight="1">
      <c r="A33" s="7" t="s">
        <v>11</v>
      </c>
      <c r="B33" s="7" t="s">
        <v>66</v>
      </c>
      <c r="C33" s="10" t="s">
        <v>67</v>
      </c>
      <c r="D33" s="9"/>
      <c r="E33" s="7"/>
    </row>
    <row r="34" spans="1:5" ht="16.05" customHeight="1">
      <c r="A34" s="2" t="s">
        <v>14</v>
      </c>
      <c r="B34" s="2" t="s">
        <v>68</v>
      </c>
      <c r="C34" s="6" t="s">
        <v>92</v>
      </c>
      <c r="D34" s="3">
        <v>287</v>
      </c>
      <c r="E34" s="2">
        <v>15</v>
      </c>
    </row>
    <row r="35" spans="1:5" ht="18" customHeight="1">
      <c r="A35" s="11" t="s">
        <v>70</v>
      </c>
      <c r="B35" s="12"/>
      <c r="C35" s="12"/>
      <c r="D35" s="13">
        <f>SUM(D5:D34)</f>
        <v>2429</v>
      </c>
      <c r="E35" s="13">
        <f>SUM(E5:E34)</f>
        <v>315</v>
      </c>
    </row>
    <row r="36" spans="1:5" ht="18" customHeight="1">
      <c r="A36" s="14" t="s">
        <v>5</v>
      </c>
      <c r="B36" s="15"/>
      <c r="C36" s="15"/>
      <c r="D36" s="16">
        <f>D2-D35</f>
        <v>-220</v>
      </c>
      <c r="E36" s="15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selection sqref="A1:E1"/>
    </sheetView>
  </sheetViews>
  <sheetFormatPr baseColWidth="10" defaultColWidth="8.88671875" defaultRowHeight="14.4"/>
  <cols>
    <col min="1" max="1" width="14.77734375" bestFit="1" customWidth="1"/>
    <col min="2" max="2" width="13" customWidth="1"/>
    <col min="3" max="3" width="42" customWidth="1"/>
    <col min="4" max="4" width="8" customWidth="1"/>
    <col min="5" max="5" width="16" customWidth="1"/>
  </cols>
  <sheetData>
    <row r="1" spans="1:5" ht="22.05" customHeight="1">
      <c r="A1" s="17" t="s">
        <v>93</v>
      </c>
      <c r="B1" s="18"/>
      <c r="C1" s="18"/>
      <c r="D1" s="18"/>
      <c r="E1" s="18"/>
    </row>
    <row r="2" spans="1:5" ht="18" customHeight="1">
      <c r="A2" s="1" t="s">
        <v>1</v>
      </c>
      <c r="B2" s="2" t="s">
        <v>2</v>
      </c>
      <c r="C2" s="1" t="s">
        <v>3</v>
      </c>
      <c r="D2" s="3">
        <v>1990</v>
      </c>
      <c r="E2" s="2"/>
    </row>
    <row r="3" spans="1:5" ht="18" customHeight="1">
      <c r="A3" s="1" t="s">
        <v>4</v>
      </c>
      <c r="B3" s="3">
        <f>SUM(D5:D34)</f>
        <v>2188</v>
      </c>
      <c r="C3" s="1" t="s">
        <v>5</v>
      </c>
      <c r="D3" s="4">
        <f>D2-B3</f>
        <v>-198</v>
      </c>
      <c r="E3" s="2"/>
    </row>
    <row r="4" spans="1:5" ht="18" customHeight="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ht="16.05" customHeight="1">
      <c r="A5" s="2" t="s">
        <v>11</v>
      </c>
      <c r="B5" s="2" t="s">
        <v>12</v>
      </c>
      <c r="C5" s="6" t="s">
        <v>94</v>
      </c>
      <c r="D5" s="3">
        <v>25</v>
      </c>
      <c r="E5" s="2">
        <v>15</v>
      </c>
    </row>
    <row r="6" spans="1:5" ht="16.05" customHeight="1">
      <c r="A6" s="2" t="s">
        <v>14</v>
      </c>
      <c r="B6" s="2" t="s">
        <v>15</v>
      </c>
      <c r="C6" s="6" t="s">
        <v>95</v>
      </c>
      <c r="D6" s="3">
        <v>25</v>
      </c>
      <c r="E6" s="2">
        <v>15</v>
      </c>
    </row>
    <row r="7" spans="1:5" ht="16.05" customHeight="1">
      <c r="A7" s="2" t="s">
        <v>17</v>
      </c>
      <c r="B7" s="2" t="s">
        <v>18</v>
      </c>
      <c r="C7" s="6" t="s">
        <v>96</v>
      </c>
      <c r="D7" s="3">
        <v>31</v>
      </c>
      <c r="E7" s="2">
        <v>15</v>
      </c>
    </row>
    <row r="8" spans="1:5" ht="16.05" customHeight="1">
      <c r="A8" s="2" t="s">
        <v>20</v>
      </c>
      <c r="B8" s="2" t="s">
        <v>21</v>
      </c>
      <c r="C8" s="6" t="s">
        <v>97</v>
      </c>
      <c r="D8" s="3">
        <v>32</v>
      </c>
      <c r="E8" s="2">
        <v>15</v>
      </c>
    </row>
    <row r="9" spans="1:5" ht="16.05" customHeight="1">
      <c r="A9" s="2" t="s">
        <v>23</v>
      </c>
      <c r="B9" s="2" t="s">
        <v>24</v>
      </c>
      <c r="C9" s="6" t="s">
        <v>98</v>
      </c>
      <c r="D9" s="3">
        <v>33</v>
      </c>
      <c r="E9" s="2">
        <v>15</v>
      </c>
    </row>
    <row r="10" spans="1:5" ht="16.05" customHeight="1">
      <c r="A10" s="7" t="s">
        <v>26</v>
      </c>
      <c r="B10" s="7" t="s">
        <v>27</v>
      </c>
      <c r="C10" s="8"/>
      <c r="D10" s="9"/>
      <c r="E10" s="7"/>
    </row>
    <row r="11" spans="1:5" ht="16.05" customHeight="1">
      <c r="A11" s="7" t="s">
        <v>28</v>
      </c>
      <c r="B11" s="7" t="s">
        <v>29</v>
      </c>
      <c r="C11" s="8"/>
      <c r="D11" s="9"/>
      <c r="E11" s="7"/>
    </row>
    <row r="12" spans="1:5" ht="16.05" customHeight="1">
      <c r="A12" s="2" t="s">
        <v>11</v>
      </c>
      <c r="B12" s="2" t="s">
        <v>30</v>
      </c>
      <c r="C12" s="6" t="s">
        <v>99</v>
      </c>
      <c r="D12" s="3">
        <v>33</v>
      </c>
      <c r="E12" s="2">
        <v>15</v>
      </c>
    </row>
    <row r="13" spans="1:5" ht="16.05" customHeight="1">
      <c r="A13" s="2" t="s">
        <v>14</v>
      </c>
      <c r="B13" s="2" t="s">
        <v>32</v>
      </c>
      <c r="C13" s="6" t="s">
        <v>100</v>
      </c>
      <c r="D13" s="3">
        <v>62</v>
      </c>
      <c r="E13" s="2">
        <v>15</v>
      </c>
    </row>
    <row r="14" spans="1:5" ht="16.05" customHeight="1">
      <c r="A14" s="2" t="s">
        <v>17</v>
      </c>
      <c r="B14" s="2" t="s">
        <v>34</v>
      </c>
      <c r="C14" s="6" t="s">
        <v>101</v>
      </c>
      <c r="D14" s="3">
        <v>62</v>
      </c>
      <c r="E14" s="2">
        <v>15</v>
      </c>
    </row>
    <row r="15" spans="1:5" ht="16.05" customHeight="1">
      <c r="A15" s="2" t="s">
        <v>20</v>
      </c>
      <c r="B15" s="2" t="s">
        <v>36</v>
      </c>
      <c r="C15" s="6" t="s">
        <v>102</v>
      </c>
      <c r="D15" s="3">
        <v>65</v>
      </c>
      <c r="E15" s="2">
        <v>15</v>
      </c>
    </row>
    <row r="16" spans="1:5" ht="16.05" customHeight="1">
      <c r="A16" s="2" t="s">
        <v>23</v>
      </c>
      <c r="B16" s="2" t="s">
        <v>38</v>
      </c>
      <c r="C16" s="6" t="s">
        <v>103</v>
      </c>
      <c r="D16" s="3">
        <v>65</v>
      </c>
      <c r="E16" s="2">
        <v>15</v>
      </c>
    </row>
    <row r="17" spans="1:5" ht="16.05" customHeight="1">
      <c r="A17" s="7" t="s">
        <v>26</v>
      </c>
      <c r="B17" s="7" t="s">
        <v>40</v>
      </c>
      <c r="C17" s="8"/>
      <c r="D17" s="9"/>
      <c r="E17" s="7"/>
    </row>
    <row r="18" spans="1:5" ht="16.05" customHeight="1">
      <c r="A18" s="7" t="s">
        <v>28</v>
      </c>
      <c r="B18" s="7" t="s">
        <v>41</v>
      </c>
      <c r="C18" s="8"/>
      <c r="D18" s="9"/>
      <c r="E18" s="7"/>
    </row>
    <row r="19" spans="1:5" ht="16.05" customHeight="1">
      <c r="A19" s="2" t="s">
        <v>11</v>
      </c>
      <c r="B19" s="2" t="s">
        <v>42</v>
      </c>
      <c r="C19" s="6" t="s">
        <v>104</v>
      </c>
      <c r="D19" s="3">
        <v>67</v>
      </c>
      <c r="E19" s="2">
        <v>15</v>
      </c>
    </row>
    <row r="20" spans="1:5" ht="16.05" customHeight="1">
      <c r="A20" s="2" t="s">
        <v>14</v>
      </c>
      <c r="B20" s="2" t="s">
        <v>44</v>
      </c>
      <c r="C20" s="6" t="s">
        <v>105</v>
      </c>
      <c r="D20" s="3">
        <v>75</v>
      </c>
      <c r="E20" s="2">
        <v>15</v>
      </c>
    </row>
    <row r="21" spans="1:5" ht="16.05" customHeight="1">
      <c r="A21" s="2" t="s">
        <v>17</v>
      </c>
      <c r="B21" s="2" t="s">
        <v>46</v>
      </c>
      <c r="C21" s="6" t="s">
        <v>106</v>
      </c>
      <c r="D21" s="3">
        <v>75</v>
      </c>
      <c r="E21" s="2">
        <v>15</v>
      </c>
    </row>
    <row r="22" spans="1:5" ht="16.05" customHeight="1">
      <c r="A22" s="2" t="s">
        <v>20</v>
      </c>
      <c r="B22" s="2" t="s">
        <v>48</v>
      </c>
      <c r="C22" s="6" t="s">
        <v>107</v>
      </c>
      <c r="D22" s="3">
        <v>92</v>
      </c>
      <c r="E22" s="2">
        <v>15</v>
      </c>
    </row>
    <row r="23" spans="1:5" ht="16.05" customHeight="1">
      <c r="A23" s="2" t="s">
        <v>23</v>
      </c>
      <c r="B23" s="2" t="s">
        <v>50</v>
      </c>
      <c r="C23" s="6" t="s">
        <v>108</v>
      </c>
      <c r="D23" s="3">
        <v>112</v>
      </c>
      <c r="E23" s="2">
        <v>15</v>
      </c>
    </row>
    <row r="24" spans="1:5" ht="16.05" customHeight="1">
      <c r="A24" s="7" t="s">
        <v>26</v>
      </c>
      <c r="B24" s="7" t="s">
        <v>52</v>
      </c>
      <c r="C24" s="8"/>
      <c r="D24" s="9"/>
      <c r="E24" s="7"/>
    </row>
    <row r="25" spans="1:5" ht="16.05" customHeight="1">
      <c r="A25" s="7" t="s">
        <v>28</v>
      </c>
      <c r="B25" s="7" t="s">
        <v>53</v>
      </c>
      <c r="C25" s="8"/>
      <c r="D25" s="9"/>
      <c r="E25" s="7"/>
    </row>
    <row r="26" spans="1:5" ht="16.05" customHeight="1">
      <c r="A26" s="2" t="s">
        <v>11</v>
      </c>
      <c r="B26" s="2" t="s">
        <v>54</v>
      </c>
      <c r="C26" s="6" t="s">
        <v>109</v>
      </c>
      <c r="D26" s="3">
        <v>150</v>
      </c>
      <c r="E26" s="2">
        <v>15</v>
      </c>
    </row>
    <row r="27" spans="1:5" ht="16.05" customHeight="1">
      <c r="A27" s="2" t="s">
        <v>14</v>
      </c>
      <c r="B27" s="2" t="s">
        <v>56</v>
      </c>
      <c r="C27" s="6" t="s">
        <v>110</v>
      </c>
      <c r="D27" s="3">
        <v>188</v>
      </c>
      <c r="E27" s="2">
        <v>15</v>
      </c>
    </row>
    <row r="28" spans="1:5" ht="16.05" customHeight="1">
      <c r="A28" s="2" t="s">
        <v>17</v>
      </c>
      <c r="B28" s="2" t="s">
        <v>58</v>
      </c>
      <c r="C28" s="6" t="s">
        <v>111</v>
      </c>
      <c r="D28" s="3">
        <v>190</v>
      </c>
      <c r="E28" s="2">
        <v>15</v>
      </c>
    </row>
    <row r="29" spans="1:5" ht="16.05" customHeight="1">
      <c r="A29" s="2" t="s">
        <v>20</v>
      </c>
      <c r="B29" s="2" t="s">
        <v>60</v>
      </c>
      <c r="C29" s="6" t="s">
        <v>112</v>
      </c>
      <c r="D29" s="3">
        <v>244</v>
      </c>
      <c r="E29" s="2">
        <v>15</v>
      </c>
    </row>
    <row r="30" spans="1:5" ht="16.05" customHeight="1">
      <c r="A30" s="2" t="s">
        <v>23</v>
      </c>
      <c r="B30" s="2" t="s">
        <v>62</v>
      </c>
      <c r="C30" s="6" t="s">
        <v>113</v>
      </c>
      <c r="D30" s="3">
        <v>280</v>
      </c>
      <c r="E30" s="2">
        <v>15</v>
      </c>
    </row>
    <row r="31" spans="1:5" ht="16.05" customHeight="1">
      <c r="A31" s="7" t="s">
        <v>26</v>
      </c>
      <c r="B31" s="7" t="s">
        <v>64</v>
      </c>
      <c r="C31" s="8"/>
      <c r="D31" s="9"/>
      <c r="E31" s="7"/>
    </row>
    <row r="32" spans="1:5" ht="16.05" customHeight="1">
      <c r="A32" s="7" t="s">
        <v>28</v>
      </c>
      <c r="B32" s="7" t="s">
        <v>65</v>
      </c>
      <c r="C32" s="8"/>
      <c r="D32" s="9"/>
      <c r="E32" s="7"/>
    </row>
    <row r="33" spans="1:5" ht="16.05" customHeight="1">
      <c r="A33" s="7" t="s">
        <v>11</v>
      </c>
      <c r="B33" s="7" t="s">
        <v>66</v>
      </c>
      <c r="C33" s="10" t="s">
        <v>67</v>
      </c>
      <c r="D33" s="9"/>
      <c r="E33" s="7"/>
    </row>
    <row r="34" spans="1:5" ht="16.05" customHeight="1">
      <c r="A34" s="2" t="s">
        <v>14</v>
      </c>
      <c r="B34" s="2" t="s">
        <v>68</v>
      </c>
      <c r="C34" s="6" t="s">
        <v>114</v>
      </c>
      <c r="D34" s="3">
        <v>282</v>
      </c>
      <c r="E34" s="2">
        <v>15</v>
      </c>
    </row>
    <row r="35" spans="1:5" ht="18" customHeight="1">
      <c r="A35" s="11" t="s">
        <v>70</v>
      </c>
      <c r="B35" s="12"/>
      <c r="C35" s="12"/>
      <c r="D35" s="13">
        <f>SUM(D5:D34)</f>
        <v>2188</v>
      </c>
      <c r="E35" s="13">
        <f>SUM(E5:E34)</f>
        <v>315</v>
      </c>
    </row>
    <row r="36" spans="1:5" ht="18" customHeight="1">
      <c r="A36" s="14" t="s">
        <v>5</v>
      </c>
      <c r="B36" s="15"/>
      <c r="C36" s="15"/>
      <c r="D36" s="16">
        <f>D2-D35</f>
        <v>-198</v>
      </c>
      <c r="E36" s="15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AE5E-79A9-4400-AB54-AE9EA1786BB6}">
  <dimension ref="A1:J48"/>
  <sheetViews>
    <sheetView zoomScale="71" zoomScaleNormal="175" workbookViewId="0">
      <selection activeCell="F3" sqref="F3:J48"/>
    </sheetView>
  </sheetViews>
  <sheetFormatPr baseColWidth="10" defaultRowHeight="13.8"/>
  <cols>
    <col min="1" max="2" width="11.5546875" style="19"/>
    <col min="3" max="3" width="35.33203125" style="19" bestFit="1" customWidth="1"/>
    <col min="4" max="4" width="11.5546875" style="19"/>
    <col min="5" max="5" width="15.109375" style="19" bestFit="1" customWidth="1"/>
    <col min="6" max="6" width="19.6640625" style="19" bestFit="1" customWidth="1"/>
    <col min="7" max="7" width="3.21875" style="19" bestFit="1" customWidth="1"/>
    <col min="8" max="8" width="38.77734375" style="19" customWidth="1"/>
    <col min="9" max="9" width="6.33203125" style="19" bestFit="1" customWidth="1"/>
    <col min="10" max="16384" width="11.5546875" style="19"/>
  </cols>
  <sheetData>
    <row r="1" spans="1:10" ht="19.8">
      <c r="A1" s="38" t="s">
        <v>154</v>
      </c>
      <c r="B1" s="38"/>
      <c r="C1" s="38"/>
      <c r="D1" s="38"/>
      <c r="E1" s="38"/>
    </row>
    <row r="2" spans="1:10">
      <c r="A2" s="37" t="s">
        <v>1</v>
      </c>
      <c r="B2" s="36" t="s">
        <v>2</v>
      </c>
      <c r="C2" s="36" t="s">
        <v>3</v>
      </c>
      <c r="D2" s="35">
        <v>1900</v>
      </c>
      <c r="E2" s="34"/>
    </row>
    <row r="3" spans="1:10">
      <c r="A3" s="33" t="s">
        <v>4</v>
      </c>
      <c r="B3" s="32">
        <f>SUM(D5:D34)</f>
        <v>2633</v>
      </c>
      <c r="C3" s="32" t="s">
        <v>5</v>
      </c>
      <c r="D3" s="31">
        <f>D2-B3</f>
        <v>-733</v>
      </c>
      <c r="E3" s="30"/>
      <c r="F3" s="39"/>
      <c r="G3" s="39"/>
      <c r="H3" s="39"/>
      <c r="I3" s="39"/>
      <c r="J3" s="39"/>
    </row>
    <row r="4" spans="1:10">
      <c r="A4" s="28" t="s">
        <v>153</v>
      </c>
      <c r="B4" s="28" t="s">
        <v>7</v>
      </c>
      <c r="C4" s="28" t="s">
        <v>8</v>
      </c>
      <c r="D4" s="29" t="s">
        <v>9</v>
      </c>
      <c r="E4" s="28" t="s">
        <v>10</v>
      </c>
      <c r="F4" s="39"/>
      <c r="G4" s="40"/>
      <c r="H4" s="40"/>
      <c r="I4" s="41"/>
      <c r="J4" s="39"/>
    </row>
    <row r="5" spans="1:10">
      <c r="A5" s="22" t="s">
        <v>11</v>
      </c>
      <c r="B5" s="23">
        <v>46174</v>
      </c>
      <c r="C5" s="22" t="s">
        <v>147</v>
      </c>
      <c r="D5" s="22">
        <v>86</v>
      </c>
      <c r="E5" s="22">
        <v>15</v>
      </c>
      <c r="F5" s="39"/>
      <c r="G5" s="40"/>
      <c r="H5" s="40"/>
      <c r="I5" s="41"/>
      <c r="J5" s="39"/>
    </row>
    <row r="6" spans="1:10">
      <c r="A6" s="22" t="s">
        <v>14</v>
      </c>
      <c r="B6" s="23">
        <v>46175</v>
      </c>
      <c r="C6" s="22" t="s">
        <v>146</v>
      </c>
      <c r="D6" s="22">
        <v>86</v>
      </c>
      <c r="E6" s="22">
        <v>15</v>
      </c>
      <c r="F6" s="39"/>
      <c r="G6" s="40"/>
      <c r="H6" s="40"/>
      <c r="I6" s="41"/>
      <c r="J6" s="39"/>
    </row>
    <row r="7" spans="1:10">
      <c r="A7" s="22" t="s">
        <v>145</v>
      </c>
      <c r="B7" s="23">
        <v>46176</v>
      </c>
      <c r="C7" s="22" t="s">
        <v>152</v>
      </c>
      <c r="D7" s="22">
        <v>80</v>
      </c>
      <c r="E7" s="22">
        <v>15</v>
      </c>
      <c r="F7" s="39"/>
      <c r="G7" s="39"/>
      <c r="H7" s="39"/>
      <c r="I7" s="42"/>
      <c r="J7" s="39"/>
    </row>
    <row r="8" spans="1:10">
      <c r="A8" s="22" t="s">
        <v>20</v>
      </c>
      <c r="B8" s="23">
        <v>46177</v>
      </c>
      <c r="C8" s="22" t="s">
        <v>119</v>
      </c>
      <c r="D8" s="22">
        <v>75</v>
      </c>
      <c r="E8" s="22">
        <v>15</v>
      </c>
      <c r="F8" s="39"/>
      <c r="G8" s="39"/>
      <c r="H8" s="39"/>
      <c r="I8" s="42"/>
      <c r="J8" s="39"/>
    </row>
    <row r="9" spans="1:10">
      <c r="A9" s="22" t="s">
        <v>23</v>
      </c>
      <c r="B9" s="23">
        <v>46178</v>
      </c>
      <c r="C9" s="22" t="s">
        <v>151</v>
      </c>
      <c r="D9" s="22">
        <v>75</v>
      </c>
      <c r="E9" s="22">
        <v>15</v>
      </c>
      <c r="F9" s="39"/>
      <c r="G9" s="39"/>
      <c r="H9" s="39"/>
      <c r="I9" s="42"/>
      <c r="J9" s="39"/>
    </row>
    <row r="10" spans="1:10">
      <c r="A10" s="25" t="s">
        <v>26</v>
      </c>
      <c r="B10" s="27">
        <v>46179</v>
      </c>
      <c r="C10" s="25"/>
      <c r="D10" s="26"/>
      <c r="E10" s="25"/>
      <c r="F10" s="39"/>
      <c r="G10" s="39"/>
      <c r="H10" s="39"/>
      <c r="I10" s="42"/>
      <c r="J10" s="39"/>
    </row>
    <row r="11" spans="1:10">
      <c r="A11" s="25" t="s">
        <v>28</v>
      </c>
      <c r="B11" s="27">
        <v>46180</v>
      </c>
      <c r="C11" s="25"/>
      <c r="D11" s="26"/>
      <c r="E11" s="25"/>
      <c r="F11" s="39"/>
      <c r="G11" s="39"/>
      <c r="H11" s="39"/>
      <c r="I11" s="42"/>
      <c r="J11" s="39"/>
    </row>
    <row r="12" spans="1:10">
      <c r="A12" s="22" t="s">
        <v>11</v>
      </c>
      <c r="B12" s="23">
        <v>46181</v>
      </c>
      <c r="C12" s="22" t="s">
        <v>117</v>
      </c>
      <c r="D12" s="22">
        <v>60</v>
      </c>
      <c r="E12" s="22">
        <v>15</v>
      </c>
      <c r="F12" s="39"/>
      <c r="G12" s="39"/>
      <c r="H12" s="39"/>
      <c r="I12" s="42"/>
      <c r="J12" s="39"/>
    </row>
    <row r="13" spans="1:10">
      <c r="A13" s="22" t="s">
        <v>14</v>
      </c>
      <c r="B13" s="23">
        <v>46182</v>
      </c>
      <c r="C13" s="22" t="s">
        <v>118</v>
      </c>
      <c r="D13" s="22">
        <v>60</v>
      </c>
      <c r="E13" s="22">
        <v>15</v>
      </c>
      <c r="F13" s="39"/>
      <c r="G13" s="39"/>
      <c r="H13" s="39"/>
      <c r="I13" s="42"/>
      <c r="J13" s="39"/>
    </row>
    <row r="14" spans="1:10">
      <c r="A14" s="22" t="s">
        <v>145</v>
      </c>
      <c r="B14" s="23">
        <v>46183</v>
      </c>
      <c r="C14" s="22" t="s">
        <v>150</v>
      </c>
      <c r="D14" s="22">
        <v>118</v>
      </c>
      <c r="E14" s="22">
        <v>15</v>
      </c>
      <c r="F14" s="39"/>
      <c r="G14" s="39"/>
      <c r="H14" s="39"/>
      <c r="I14" s="42"/>
      <c r="J14" s="39"/>
    </row>
    <row r="15" spans="1:10">
      <c r="A15" s="22" t="s">
        <v>20</v>
      </c>
      <c r="B15" s="23">
        <v>46184</v>
      </c>
      <c r="C15" s="22" t="s">
        <v>149</v>
      </c>
      <c r="D15" s="22">
        <v>118</v>
      </c>
      <c r="E15" s="22">
        <v>15</v>
      </c>
      <c r="F15" s="39"/>
      <c r="G15" s="39"/>
      <c r="H15" s="39"/>
      <c r="I15" s="42"/>
      <c r="J15" s="39"/>
    </row>
    <row r="16" spans="1:10">
      <c r="A16" s="22" t="s">
        <v>23</v>
      </c>
      <c r="B16" s="23">
        <v>46185</v>
      </c>
      <c r="C16" s="22" t="s">
        <v>115</v>
      </c>
      <c r="D16" s="22">
        <v>55</v>
      </c>
      <c r="E16" s="22">
        <v>15</v>
      </c>
      <c r="F16" s="39"/>
      <c r="G16" s="39"/>
      <c r="H16" s="39"/>
      <c r="I16" s="42"/>
      <c r="J16" s="39"/>
    </row>
    <row r="17" spans="1:10">
      <c r="A17" s="25" t="s">
        <v>143</v>
      </c>
      <c r="B17" s="27">
        <v>46186</v>
      </c>
      <c r="C17" s="25"/>
      <c r="D17" s="26"/>
      <c r="E17" s="25"/>
      <c r="F17" s="39"/>
      <c r="G17" s="39"/>
      <c r="H17" s="39"/>
      <c r="I17" s="42"/>
      <c r="J17" s="39"/>
    </row>
    <row r="18" spans="1:10">
      <c r="A18" s="25" t="s">
        <v>28</v>
      </c>
      <c r="B18" s="27">
        <v>46187</v>
      </c>
      <c r="C18" s="25"/>
      <c r="D18" s="26"/>
      <c r="E18" s="25"/>
      <c r="F18" s="39"/>
      <c r="G18" s="39"/>
      <c r="H18" s="39"/>
      <c r="I18" s="42"/>
      <c r="J18" s="39"/>
    </row>
    <row r="19" spans="1:10">
      <c r="A19" s="22" t="s">
        <v>11</v>
      </c>
      <c r="B19" s="23">
        <v>46188</v>
      </c>
      <c r="C19" s="22" t="s">
        <v>116</v>
      </c>
      <c r="D19" s="22">
        <v>55</v>
      </c>
      <c r="E19" s="22">
        <v>15</v>
      </c>
      <c r="F19" s="39"/>
      <c r="G19" s="39"/>
      <c r="H19" s="39"/>
      <c r="I19" s="42"/>
      <c r="J19" s="39"/>
    </row>
    <row r="20" spans="1:10">
      <c r="A20" s="22" t="s">
        <v>14</v>
      </c>
      <c r="B20" s="23">
        <v>46189</v>
      </c>
      <c r="C20" s="22" t="s">
        <v>136</v>
      </c>
      <c r="D20" s="22">
        <v>75</v>
      </c>
      <c r="E20" s="22">
        <v>15</v>
      </c>
      <c r="F20" s="39"/>
      <c r="G20" s="39"/>
      <c r="H20" s="39"/>
      <c r="I20" s="42"/>
      <c r="J20" s="39"/>
    </row>
    <row r="21" spans="1:10">
      <c r="A21" s="22" t="s">
        <v>145</v>
      </c>
      <c r="B21" s="23">
        <v>46190</v>
      </c>
      <c r="C21" s="22" t="s">
        <v>136</v>
      </c>
      <c r="D21" s="22">
        <v>75</v>
      </c>
      <c r="E21" s="22">
        <v>15</v>
      </c>
      <c r="F21" s="39"/>
      <c r="G21" s="39"/>
      <c r="H21" s="39"/>
      <c r="I21" s="42"/>
      <c r="J21" s="39"/>
    </row>
    <row r="22" spans="1:10">
      <c r="A22" s="22" t="s">
        <v>20</v>
      </c>
      <c r="B22" s="23">
        <v>46191</v>
      </c>
      <c r="C22" s="22" t="s">
        <v>148</v>
      </c>
      <c r="D22" s="22">
        <v>160</v>
      </c>
      <c r="E22" s="22">
        <v>15</v>
      </c>
      <c r="F22" s="39"/>
      <c r="G22" s="39"/>
      <c r="H22" s="39"/>
      <c r="I22" s="42"/>
      <c r="J22" s="39"/>
    </row>
    <row r="23" spans="1:10">
      <c r="A23" s="22" t="s">
        <v>23</v>
      </c>
      <c r="B23" s="23">
        <v>46192</v>
      </c>
      <c r="C23" s="22" t="s">
        <v>135</v>
      </c>
      <c r="D23" s="22">
        <v>160</v>
      </c>
      <c r="E23" s="22">
        <v>15</v>
      </c>
      <c r="F23" s="39"/>
      <c r="G23" s="39"/>
      <c r="H23" s="39"/>
      <c r="I23" s="42"/>
      <c r="J23" s="39"/>
    </row>
    <row r="24" spans="1:10">
      <c r="A24" s="25" t="s">
        <v>143</v>
      </c>
      <c r="B24" s="27">
        <v>46193</v>
      </c>
      <c r="C24" s="25"/>
      <c r="D24" s="26"/>
      <c r="E24" s="25"/>
      <c r="F24" s="39"/>
      <c r="G24" s="39"/>
      <c r="H24" s="39"/>
      <c r="I24" s="42"/>
      <c r="J24" s="39"/>
    </row>
    <row r="25" spans="1:10">
      <c r="A25" s="25" t="s">
        <v>28</v>
      </c>
      <c r="B25" s="27">
        <v>46194</v>
      </c>
      <c r="C25" s="25"/>
      <c r="D25" s="26"/>
      <c r="E25" s="25"/>
      <c r="F25" s="39"/>
      <c r="G25" s="39"/>
      <c r="H25" s="39"/>
      <c r="I25" s="42"/>
      <c r="J25" s="39"/>
    </row>
    <row r="26" spans="1:10">
      <c r="A26" s="22" t="s">
        <v>11</v>
      </c>
      <c r="B26" s="23">
        <v>46195</v>
      </c>
      <c r="C26" s="22" t="s">
        <v>142</v>
      </c>
      <c r="D26" s="22">
        <v>200</v>
      </c>
      <c r="E26" s="22">
        <v>15</v>
      </c>
      <c r="F26" s="39"/>
      <c r="G26" s="39"/>
      <c r="H26" s="39"/>
      <c r="I26" s="42"/>
      <c r="J26" s="39"/>
    </row>
    <row r="27" spans="1:10">
      <c r="A27" s="22" t="s">
        <v>14</v>
      </c>
      <c r="B27" s="23">
        <v>46196</v>
      </c>
      <c r="C27" s="22" t="s">
        <v>141</v>
      </c>
      <c r="D27" s="22">
        <v>200</v>
      </c>
      <c r="E27" s="22">
        <v>15</v>
      </c>
      <c r="F27" s="39"/>
      <c r="G27" s="39"/>
      <c r="H27" s="39"/>
      <c r="I27" s="42"/>
      <c r="J27" s="39"/>
    </row>
    <row r="28" spans="1:10">
      <c r="A28" s="22" t="s">
        <v>145</v>
      </c>
      <c r="B28" s="23">
        <v>46197</v>
      </c>
      <c r="C28" s="22" t="s">
        <v>137</v>
      </c>
      <c r="D28" s="22">
        <v>220</v>
      </c>
      <c r="E28" s="22">
        <v>15</v>
      </c>
      <c r="F28" s="39"/>
      <c r="G28" s="39"/>
      <c r="H28" s="39"/>
      <c r="I28" s="42"/>
      <c r="J28" s="39"/>
    </row>
    <row r="29" spans="1:10">
      <c r="A29" s="22" t="s">
        <v>20</v>
      </c>
      <c r="B29" s="23">
        <v>46198</v>
      </c>
      <c r="C29" s="22" t="s">
        <v>144</v>
      </c>
      <c r="D29" s="22">
        <v>220</v>
      </c>
      <c r="E29" s="22">
        <v>15</v>
      </c>
      <c r="F29" s="39"/>
      <c r="G29" s="39"/>
      <c r="H29" s="39"/>
      <c r="I29" s="42"/>
      <c r="J29" s="39"/>
    </row>
    <row r="30" spans="1:10">
      <c r="A30" s="22" t="s">
        <v>23</v>
      </c>
      <c r="B30" s="23">
        <v>46199</v>
      </c>
      <c r="C30" s="22" t="s">
        <v>138</v>
      </c>
      <c r="D30" s="22">
        <v>130</v>
      </c>
      <c r="E30" s="22">
        <v>15</v>
      </c>
      <c r="F30" s="39"/>
      <c r="G30" s="39"/>
      <c r="H30" s="39"/>
      <c r="I30" s="42"/>
      <c r="J30" s="39"/>
    </row>
    <row r="31" spans="1:10">
      <c r="A31" s="25" t="s">
        <v>143</v>
      </c>
      <c r="B31" s="27">
        <v>46200</v>
      </c>
      <c r="C31" s="25"/>
      <c r="D31" s="26"/>
      <c r="E31" s="25"/>
      <c r="F31" s="39"/>
      <c r="G31" s="39"/>
      <c r="H31" s="39"/>
      <c r="I31" s="42"/>
      <c r="J31" s="39"/>
    </row>
    <row r="32" spans="1:10">
      <c r="A32" s="25" t="s">
        <v>28</v>
      </c>
      <c r="B32" s="27">
        <v>46201</v>
      </c>
      <c r="C32" s="25"/>
      <c r="D32" s="26"/>
      <c r="E32" s="25"/>
      <c r="F32" s="39"/>
      <c r="G32" s="39"/>
      <c r="H32" s="39"/>
      <c r="I32" s="42"/>
      <c r="J32" s="39"/>
    </row>
    <row r="33" spans="1:10">
      <c r="A33" s="22" t="s">
        <v>11</v>
      </c>
      <c r="B33" s="23">
        <v>46202</v>
      </c>
      <c r="C33" s="22" t="s">
        <v>140</v>
      </c>
      <c r="D33" s="22">
        <v>165</v>
      </c>
      <c r="E33" s="22">
        <v>15</v>
      </c>
      <c r="F33" s="39"/>
      <c r="G33" s="39"/>
      <c r="H33" s="39"/>
      <c r="I33" s="42"/>
      <c r="J33" s="39"/>
    </row>
    <row r="34" spans="1:10">
      <c r="A34" s="22" t="s">
        <v>14</v>
      </c>
      <c r="B34" s="23">
        <v>46203</v>
      </c>
      <c r="C34" s="22" t="s">
        <v>139</v>
      </c>
      <c r="D34" s="22">
        <v>160</v>
      </c>
      <c r="E34" s="22">
        <v>15</v>
      </c>
      <c r="F34" s="39"/>
      <c r="G34" s="39"/>
      <c r="H34" s="39"/>
      <c r="I34" s="42"/>
      <c r="J34" s="39"/>
    </row>
    <row r="35" spans="1:10">
      <c r="A35" s="20" t="s">
        <v>70</v>
      </c>
      <c r="B35" s="20"/>
      <c r="C35" s="20"/>
      <c r="D35" s="21">
        <f>SUM(D5:D34)</f>
        <v>2633</v>
      </c>
      <c r="E35" s="20">
        <f>SUM(E5:E34)</f>
        <v>330</v>
      </c>
      <c r="F35" s="39"/>
      <c r="G35" s="39"/>
      <c r="H35" s="39"/>
      <c r="I35" s="42"/>
      <c r="J35" s="39"/>
    </row>
    <row r="36" spans="1:10">
      <c r="A36" s="20" t="s">
        <v>5</v>
      </c>
      <c r="B36" s="20"/>
      <c r="C36" s="20"/>
      <c r="D36" s="21">
        <f>D2-D35</f>
        <v>-733</v>
      </c>
      <c r="E36" s="20"/>
      <c r="F36" s="39"/>
      <c r="G36" s="39"/>
      <c r="H36" s="39"/>
      <c r="I36" s="42"/>
      <c r="J36" s="39"/>
    </row>
    <row r="37" spans="1:10">
      <c r="F37" s="39"/>
      <c r="G37" s="39"/>
      <c r="H37" s="39"/>
      <c r="I37" s="42"/>
      <c r="J37" s="39"/>
    </row>
    <row r="38" spans="1:10">
      <c r="F38" s="39"/>
      <c r="G38" s="39"/>
      <c r="H38" s="39"/>
      <c r="I38" s="42"/>
      <c r="J38" s="39"/>
    </row>
    <row r="39" spans="1:10">
      <c r="F39" s="39"/>
      <c r="G39" s="39"/>
      <c r="H39" s="39"/>
      <c r="I39" s="42"/>
      <c r="J39" s="39"/>
    </row>
    <row r="40" spans="1:10">
      <c r="F40" s="39"/>
      <c r="G40" s="39"/>
      <c r="H40" s="39"/>
      <c r="I40" s="42"/>
      <c r="J40" s="39"/>
    </row>
    <row r="41" spans="1:10">
      <c r="F41" s="39"/>
      <c r="G41" s="39"/>
      <c r="H41" s="39"/>
      <c r="I41" s="42"/>
      <c r="J41" s="39"/>
    </row>
    <row r="42" spans="1:10">
      <c r="F42" s="39"/>
      <c r="G42" s="39"/>
      <c r="H42" s="39"/>
      <c r="I42" s="42"/>
      <c r="J42" s="39"/>
    </row>
    <row r="43" spans="1:10">
      <c r="F43" s="39"/>
      <c r="G43" s="39"/>
      <c r="H43" s="39"/>
      <c r="I43" s="42"/>
      <c r="J43" s="39"/>
    </row>
    <row r="44" spans="1:10">
      <c r="F44" s="39"/>
      <c r="G44" s="39"/>
      <c r="H44" s="39"/>
      <c r="I44" s="42"/>
      <c r="J44" s="39"/>
    </row>
    <row r="45" spans="1:10">
      <c r="F45" s="39"/>
      <c r="G45" s="39"/>
      <c r="H45" s="39"/>
      <c r="I45" s="42"/>
      <c r="J45" s="39"/>
    </row>
    <row r="46" spans="1:10">
      <c r="F46" s="39"/>
      <c r="G46" s="39"/>
      <c r="H46" s="39"/>
      <c r="I46" s="42"/>
      <c r="J46" s="39"/>
    </row>
    <row r="47" spans="1:10">
      <c r="F47" s="39"/>
      <c r="G47" s="39"/>
      <c r="H47" s="39"/>
      <c r="I47" s="39"/>
      <c r="J47" s="39"/>
    </row>
    <row r="48" spans="1:10">
      <c r="F48" s="39"/>
      <c r="G48" s="39"/>
      <c r="H48" s="39"/>
      <c r="I48" s="39"/>
      <c r="J48" s="39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F51C-8CC9-42C8-92C7-613AA539E850}">
  <dimension ref="A1:K48"/>
  <sheetViews>
    <sheetView topLeftCell="A6" zoomScale="78" zoomScaleNormal="145" workbookViewId="0">
      <selection activeCell="G2" sqref="G2:K48"/>
    </sheetView>
  </sheetViews>
  <sheetFormatPr baseColWidth="10" defaultColWidth="10" defaultRowHeight="13.8"/>
  <cols>
    <col min="1" max="2" width="15.5546875" style="24" customWidth="1"/>
    <col min="3" max="3" width="42.21875" style="24" customWidth="1"/>
    <col min="4" max="4" width="4.88671875" style="24" bestFit="1" customWidth="1"/>
    <col min="5" max="5" width="15.44140625" style="24" customWidth="1"/>
    <col min="6" max="8" width="10" style="24"/>
    <col min="9" max="9" width="26.6640625" style="24" bestFit="1" customWidth="1"/>
    <col min="10" max="16384" width="10" style="24"/>
  </cols>
  <sheetData>
    <row r="1" spans="1:11" ht="19.8">
      <c r="A1" s="38" t="s">
        <v>154</v>
      </c>
      <c r="B1" s="38"/>
      <c r="C1" s="38"/>
      <c r="D1" s="38"/>
      <c r="E1" s="38"/>
    </row>
    <row r="2" spans="1:11">
      <c r="A2" s="37" t="s">
        <v>1</v>
      </c>
      <c r="B2" s="36" t="s">
        <v>2</v>
      </c>
      <c r="C2" s="36" t="s">
        <v>3</v>
      </c>
      <c r="D2" s="35">
        <v>1900</v>
      </c>
      <c r="E2" s="34"/>
      <c r="G2" s="42"/>
      <c r="H2" s="42"/>
      <c r="I2" s="42"/>
      <c r="J2" s="42"/>
      <c r="K2" s="42"/>
    </row>
    <row r="3" spans="1:11">
      <c r="A3" s="33" t="s">
        <v>4</v>
      </c>
      <c r="B3" s="32">
        <f>SUM(D5:D34)</f>
        <v>1926</v>
      </c>
      <c r="C3" s="32" t="s">
        <v>5</v>
      </c>
      <c r="D3" s="31">
        <f>D2-B3</f>
        <v>-26</v>
      </c>
      <c r="E3" s="30"/>
      <c r="G3" s="42"/>
      <c r="H3" s="42"/>
      <c r="I3" s="42"/>
      <c r="J3" s="42"/>
      <c r="K3" s="42"/>
    </row>
    <row r="4" spans="1:11">
      <c r="A4" s="28" t="s">
        <v>153</v>
      </c>
      <c r="B4" s="28" t="s">
        <v>7</v>
      </c>
      <c r="C4" s="28" t="s">
        <v>8</v>
      </c>
      <c r="D4" s="29" t="s">
        <v>9</v>
      </c>
      <c r="E4" s="28" t="s">
        <v>10</v>
      </c>
      <c r="G4" s="42"/>
      <c r="H4" s="42"/>
      <c r="I4" s="42"/>
      <c r="J4" s="42"/>
      <c r="K4" s="42"/>
    </row>
    <row r="5" spans="1:11">
      <c r="A5" s="22" t="s">
        <v>11</v>
      </c>
      <c r="B5" s="23">
        <v>46174</v>
      </c>
      <c r="C5" s="22" t="s">
        <v>123</v>
      </c>
      <c r="D5" s="22">
        <v>65</v>
      </c>
      <c r="E5" s="22">
        <v>15</v>
      </c>
      <c r="G5" s="42"/>
      <c r="H5" s="42"/>
      <c r="I5" s="42"/>
      <c r="J5" s="42"/>
      <c r="K5" s="42"/>
    </row>
    <row r="6" spans="1:11">
      <c r="A6" s="22" t="s">
        <v>14</v>
      </c>
      <c r="B6" s="23">
        <v>46175</v>
      </c>
      <c r="C6" s="22" t="s">
        <v>124</v>
      </c>
      <c r="D6" s="22">
        <v>65</v>
      </c>
      <c r="E6" s="22">
        <v>15</v>
      </c>
      <c r="G6" s="42"/>
      <c r="H6" s="42"/>
      <c r="I6" s="42"/>
      <c r="J6" s="42"/>
      <c r="K6" s="42"/>
    </row>
    <row r="7" spans="1:11">
      <c r="A7" s="22" t="s">
        <v>145</v>
      </c>
      <c r="B7" s="23">
        <v>46176</v>
      </c>
      <c r="C7" s="22" t="s">
        <v>128</v>
      </c>
      <c r="D7" s="22">
        <v>70</v>
      </c>
      <c r="E7" s="22">
        <v>15</v>
      </c>
      <c r="G7" s="42"/>
      <c r="H7" s="42"/>
      <c r="I7" s="42"/>
      <c r="J7" s="42"/>
      <c r="K7" s="42"/>
    </row>
    <row r="8" spans="1:11">
      <c r="A8" s="22" t="s">
        <v>20</v>
      </c>
      <c r="B8" s="23">
        <v>46177</v>
      </c>
      <c r="C8" s="22" t="s">
        <v>129</v>
      </c>
      <c r="D8" s="22">
        <v>70</v>
      </c>
      <c r="E8" s="22">
        <v>15</v>
      </c>
      <c r="G8" s="42"/>
      <c r="H8" s="42"/>
      <c r="I8" s="42"/>
      <c r="J8" s="42"/>
      <c r="K8" s="42"/>
    </row>
    <row r="9" spans="1:11">
      <c r="A9" s="22" t="s">
        <v>23</v>
      </c>
      <c r="B9" s="23">
        <v>46178</v>
      </c>
      <c r="C9" s="22" t="s">
        <v>131</v>
      </c>
      <c r="D9" s="22">
        <v>75</v>
      </c>
      <c r="E9" s="22">
        <v>15</v>
      </c>
      <c r="G9" s="42"/>
      <c r="H9" s="42"/>
      <c r="I9" s="42"/>
      <c r="J9" s="42"/>
      <c r="K9" s="42"/>
    </row>
    <row r="10" spans="1:11">
      <c r="A10" s="25" t="s">
        <v>26</v>
      </c>
      <c r="B10" s="27">
        <v>46179</v>
      </c>
      <c r="C10" s="25"/>
      <c r="D10" s="26"/>
      <c r="E10" s="25"/>
      <c r="G10" s="42"/>
      <c r="H10" s="42"/>
      <c r="I10" s="42"/>
      <c r="J10" s="42"/>
      <c r="K10" s="42"/>
    </row>
    <row r="11" spans="1:11">
      <c r="A11" s="25" t="s">
        <v>28</v>
      </c>
      <c r="B11" s="27">
        <v>46180</v>
      </c>
      <c r="C11" s="25"/>
      <c r="D11" s="26"/>
      <c r="E11" s="25"/>
      <c r="G11" s="42"/>
      <c r="H11" s="42"/>
      <c r="I11" s="42"/>
      <c r="J11" s="42"/>
      <c r="K11" s="42"/>
    </row>
    <row r="12" spans="1:11">
      <c r="A12" s="22" t="s">
        <v>11</v>
      </c>
      <c r="B12" s="23">
        <v>46181</v>
      </c>
      <c r="C12" s="22" t="s">
        <v>132</v>
      </c>
      <c r="D12" s="22">
        <v>75</v>
      </c>
      <c r="E12" s="22">
        <v>15</v>
      </c>
      <c r="G12" s="42"/>
      <c r="H12" s="42"/>
      <c r="I12" s="42"/>
      <c r="J12" s="42"/>
      <c r="K12" s="42"/>
    </row>
    <row r="13" spans="1:11">
      <c r="A13" s="22" t="s">
        <v>14</v>
      </c>
      <c r="B13" s="23">
        <v>46182</v>
      </c>
      <c r="C13" s="22" t="s">
        <v>125</v>
      </c>
      <c r="D13" s="22">
        <v>65</v>
      </c>
      <c r="E13" s="22">
        <v>15</v>
      </c>
      <c r="G13" s="42"/>
      <c r="H13" s="42"/>
      <c r="I13" s="42"/>
      <c r="J13" s="42"/>
      <c r="K13" s="42"/>
    </row>
    <row r="14" spans="1:11">
      <c r="A14" s="22" t="s">
        <v>145</v>
      </c>
      <c r="B14" s="23">
        <v>46183</v>
      </c>
      <c r="C14" s="22" t="s">
        <v>126</v>
      </c>
      <c r="D14" s="22">
        <v>65</v>
      </c>
      <c r="E14" s="22">
        <v>15</v>
      </c>
      <c r="G14" s="42"/>
      <c r="H14" s="42"/>
      <c r="I14" s="42"/>
      <c r="J14" s="42"/>
      <c r="K14" s="42"/>
    </row>
    <row r="15" spans="1:11">
      <c r="A15" s="22" t="s">
        <v>20</v>
      </c>
      <c r="B15" s="23">
        <v>46184</v>
      </c>
      <c r="C15" s="22" t="s">
        <v>130</v>
      </c>
      <c r="D15" s="22">
        <v>70</v>
      </c>
      <c r="E15" s="22">
        <v>15</v>
      </c>
      <c r="G15" s="42"/>
      <c r="H15" s="42"/>
      <c r="I15" s="42"/>
      <c r="J15" s="42"/>
      <c r="K15" s="42"/>
    </row>
    <row r="16" spans="1:11">
      <c r="A16" s="22" t="s">
        <v>23</v>
      </c>
      <c r="B16" s="23">
        <v>46185</v>
      </c>
      <c r="C16" s="22" t="s">
        <v>155</v>
      </c>
      <c r="D16" s="22">
        <v>70</v>
      </c>
      <c r="E16" s="22">
        <v>15</v>
      </c>
      <c r="G16" s="42"/>
      <c r="H16" s="42"/>
      <c r="I16" s="42"/>
      <c r="J16" s="42"/>
      <c r="K16" s="42"/>
    </row>
    <row r="17" spans="1:11">
      <c r="A17" s="25" t="s">
        <v>143</v>
      </c>
      <c r="B17" s="27">
        <v>46186</v>
      </c>
      <c r="C17" s="25"/>
      <c r="D17" s="26"/>
      <c r="E17" s="25"/>
      <c r="G17" s="42"/>
      <c r="H17" s="42"/>
      <c r="I17" s="42"/>
      <c r="J17" s="42"/>
      <c r="K17" s="42"/>
    </row>
    <row r="18" spans="1:11">
      <c r="A18" s="25" t="s">
        <v>28</v>
      </c>
      <c r="B18" s="27">
        <v>46187</v>
      </c>
      <c r="C18" s="25"/>
      <c r="D18" s="26"/>
      <c r="E18" s="25"/>
      <c r="G18" s="42"/>
      <c r="H18" s="42"/>
      <c r="I18" s="42"/>
      <c r="J18" s="42"/>
      <c r="K18" s="42"/>
    </row>
    <row r="19" spans="1:11">
      <c r="A19" s="22" t="s">
        <v>11</v>
      </c>
      <c r="B19" s="23">
        <v>46188</v>
      </c>
      <c r="C19" s="22" t="s">
        <v>127</v>
      </c>
      <c r="D19" s="22">
        <v>65</v>
      </c>
      <c r="E19" s="22">
        <v>15</v>
      </c>
      <c r="G19" s="42"/>
      <c r="H19" s="42"/>
      <c r="I19" s="42"/>
      <c r="J19" s="42"/>
      <c r="K19" s="42"/>
    </row>
    <row r="20" spans="1:11">
      <c r="A20" s="22" t="s">
        <v>14</v>
      </c>
      <c r="B20" s="23">
        <v>46189</v>
      </c>
      <c r="C20" s="22" t="s">
        <v>156</v>
      </c>
      <c r="D20" s="22">
        <v>65</v>
      </c>
      <c r="E20" s="22">
        <v>15</v>
      </c>
      <c r="G20" s="42"/>
      <c r="H20" s="42"/>
      <c r="I20" s="42"/>
      <c r="J20" s="42"/>
      <c r="K20" s="42"/>
    </row>
    <row r="21" spans="1:11">
      <c r="A21" s="22" t="s">
        <v>145</v>
      </c>
      <c r="B21" s="23">
        <v>46190</v>
      </c>
      <c r="C21" s="22" t="s">
        <v>122</v>
      </c>
      <c r="D21" s="22">
        <v>60</v>
      </c>
      <c r="E21" s="22">
        <v>15</v>
      </c>
      <c r="G21" s="42"/>
      <c r="H21" s="42"/>
      <c r="I21" s="42"/>
      <c r="J21" s="42"/>
      <c r="K21" s="42"/>
    </row>
    <row r="22" spans="1:11">
      <c r="A22" s="22" t="s">
        <v>20</v>
      </c>
      <c r="B22" s="23">
        <v>46191</v>
      </c>
      <c r="C22" s="22" t="s">
        <v>73</v>
      </c>
      <c r="D22" s="22">
        <v>60</v>
      </c>
      <c r="E22" s="22">
        <v>15</v>
      </c>
      <c r="G22" s="42"/>
      <c r="H22" s="42"/>
      <c r="I22" s="42"/>
      <c r="J22" s="42"/>
      <c r="K22" s="42"/>
    </row>
    <row r="23" spans="1:11">
      <c r="A23" s="22" t="s">
        <v>23</v>
      </c>
      <c r="B23" s="23">
        <v>46192</v>
      </c>
      <c r="C23" s="22" t="s">
        <v>120</v>
      </c>
      <c r="D23" s="22">
        <v>58</v>
      </c>
      <c r="E23" s="22">
        <v>15</v>
      </c>
      <c r="G23" s="42"/>
      <c r="H23" s="42"/>
      <c r="I23" s="42"/>
      <c r="J23" s="42"/>
      <c r="K23" s="42"/>
    </row>
    <row r="24" spans="1:11">
      <c r="A24" s="25" t="s">
        <v>143</v>
      </c>
      <c r="B24" s="27">
        <v>46193</v>
      </c>
      <c r="C24" s="25"/>
      <c r="D24" s="26"/>
      <c r="E24" s="25"/>
      <c r="G24" s="42"/>
      <c r="H24" s="42"/>
      <c r="I24" s="42"/>
      <c r="J24" s="42"/>
      <c r="K24" s="42"/>
    </row>
    <row r="25" spans="1:11">
      <c r="A25" s="25" t="s">
        <v>28</v>
      </c>
      <c r="B25" s="27">
        <v>46194</v>
      </c>
      <c r="C25" s="25"/>
      <c r="D25" s="26"/>
      <c r="E25" s="25"/>
      <c r="G25" s="42"/>
      <c r="H25" s="42"/>
      <c r="I25" s="42"/>
      <c r="J25" s="42"/>
      <c r="K25" s="42"/>
    </row>
    <row r="26" spans="1:11">
      <c r="A26" s="22" t="s">
        <v>11</v>
      </c>
      <c r="B26" s="23">
        <v>46195</v>
      </c>
      <c r="C26" s="22" t="s">
        <v>121</v>
      </c>
      <c r="D26" s="22">
        <v>58</v>
      </c>
      <c r="E26" s="22">
        <v>15</v>
      </c>
      <c r="G26" s="42"/>
      <c r="H26" s="42"/>
      <c r="I26" s="42"/>
      <c r="J26" s="42"/>
      <c r="K26" s="42"/>
    </row>
    <row r="27" spans="1:11">
      <c r="A27" s="22" t="s">
        <v>14</v>
      </c>
      <c r="B27" s="23">
        <v>46196</v>
      </c>
      <c r="C27" s="22" t="s">
        <v>133</v>
      </c>
      <c r="D27" s="22">
        <v>80</v>
      </c>
      <c r="E27" s="22">
        <v>15</v>
      </c>
      <c r="G27" s="42"/>
      <c r="H27" s="42"/>
      <c r="I27" s="42"/>
      <c r="J27" s="42"/>
      <c r="K27" s="42"/>
    </row>
    <row r="28" spans="1:11">
      <c r="A28" s="22" t="s">
        <v>145</v>
      </c>
      <c r="B28" s="23">
        <v>46197</v>
      </c>
      <c r="C28" s="22" t="s">
        <v>134</v>
      </c>
      <c r="D28" s="22">
        <v>80</v>
      </c>
      <c r="E28" s="22">
        <v>15</v>
      </c>
      <c r="G28" s="42"/>
      <c r="H28" s="42"/>
      <c r="I28" s="42"/>
      <c r="J28" s="42"/>
      <c r="K28" s="42"/>
    </row>
    <row r="29" spans="1:11">
      <c r="A29" s="22" t="s">
        <v>20</v>
      </c>
      <c r="B29" s="23">
        <v>46198</v>
      </c>
      <c r="C29" s="22" t="s">
        <v>157</v>
      </c>
      <c r="D29" s="22">
        <v>180</v>
      </c>
      <c r="E29" s="22">
        <v>15</v>
      </c>
      <c r="G29" s="42"/>
      <c r="H29" s="42"/>
      <c r="I29" s="42"/>
      <c r="J29" s="42"/>
      <c r="K29" s="42"/>
    </row>
    <row r="30" spans="1:11">
      <c r="A30" s="22" t="s">
        <v>23</v>
      </c>
      <c r="B30" s="23">
        <v>46199</v>
      </c>
      <c r="C30" s="22" t="s">
        <v>158</v>
      </c>
      <c r="D30" s="22">
        <v>180</v>
      </c>
      <c r="E30" s="22">
        <v>15</v>
      </c>
      <c r="G30" s="42"/>
      <c r="H30" s="42"/>
      <c r="I30" s="42"/>
      <c r="J30" s="42"/>
      <c r="K30" s="42"/>
    </row>
    <row r="31" spans="1:11">
      <c r="A31" s="25" t="s">
        <v>143</v>
      </c>
      <c r="B31" s="27">
        <v>46200</v>
      </c>
      <c r="C31" s="25"/>
      <c r="D31" s="26"/>
      <c r="E31" s="25"/>
      <c r="G31" s="42"/>
      <c r="H31" s="42"/>
      <c r="I31" s="42"/>
      <c r="J31" s="42"/>
      <c r="K31" s="42"/>
    </row>
    <row r="32" spans="1:11">
      <c r="A32" s="25" t="s">
        <v>28</v>
      </c>
      <c r="B32" s="27">
        <v>46201</v>
      </c>
      <c r="C32" s="25"/>
      <c r="D32" s="26"/>
      <c r="E32" s="25"/>
      <c r="G32" s="42"/>
      <c r="H32" s="42"/>
      <c r="I32" s="42"/>
      <c r="J32" s="42"/>
      <c r="K32" s="42"/>
    </row>
    <row r="33" spans="1:11">
      <c r="A33" s="22" t="s">
        <v>11</v>
      </c>
      <c r="B33" s="23">
        <v>46202</v>
      </c>
      <c r="C33" s="22" t="s">
        <v>159</v>
      </c>
      <c r="D33" s="22">
        <v>175</v>
      </c>
      <c r="E33" s="22">
        <v>15</v>
      </c>
      <c r="G33" s="42"/>
      <c r="H33" s="42"/>
      <c r="I33" s="42"/>
      <c r="J33" s="42"/>
      <c r="K33" s="42"/>
    </row>
    <row r="34" spans="1:11">
      <c r="A34" s="22" t="s">
        <v>14</v>
      </c>
      <c r="B34" s="23">
        <v>46203</v>
      </c>
      <c r="C34" s="22" t="s">
        <v>160</v>
      </c>
      <c r="D34" s="22">
        <v>175</v>
      </c>
      <c r="E34" s="22">
        <v>15</v>
      </c>
      <c r="G34" s="42"/>
      <c r="H34" s="42"/>
      <c r="I34" s="42"/>
      <c r="J34" s="42"/>
      <c r="K34" s="42"/>
    </row>
    <row r="35" spans="1:11">
      <c r="A35" s="20" t="s">
        <v>70</v>
      </c>
      <c r="B35" s="20"/>
      <c r="C35" s="20"/>
      <c r="D35" s="21">
        <f>SUM(D5:D34)</f>
        <v>1926</v>
      </c>
      <c r="E35" s="20">
        <f>SUM(E5:E34)</f>
        <v>330</v>
      </c>
      <c r="G35" s="42"/>
      <c r="H35" s="42"/>
      <c r="I35" s="42"/>
      <c r="J35" s="42"/>
      <c r="K35" s="42"/>
    </row>
    <row r="36" spans="1:11">
      <c r="A36" s="20" t="s">
        <v>5</v>
      </c>
      <c r="B36" s="20"/>
      <c r="C36" s="20"/>
      <c r="D36" s="21">
        <f>D2-D35</f>
        <v>-26</v>
      </c>
      <c r="E36" s="20"/>
      <c r="G36" s="42"/>
      <c r="H36" s="42"/>
      <c r="I36" s="42"/>
      <c r="J36" s="42"/>
      <c r="K36" s="42"/>
    </row>
    <row r="37" spans="1:11">
      <c r="G37" s="42"/>
      <c r="H37" s="42"/>
      <c r="I37" s="42"/>
      <c r="J37" s="42"/>
      <c r="K37" s="42"/>
    </row>
    <row r="38" spans="1:11">
      <c r="G38" s="42"/>
      <c r="H38" s="42"/>
      <c r="I38" s="42"/>
      <c r="J38" s="42"/>
      <c r="K38" s="42"/>
    </row>
    <row r="39" spans="1:11">
      <c r="G39" s="42"/>
      <c r="H39" s="42"/>
      <c r="I39" s="42"/>
      <c r="J39" s="42"/>
      <c r="K39" s="42"/>
    </row>
    <row r="40" spans="1:11">
      <c r="G40" s="42"/>
      <c r="H40" s="42"/>
      <c r="I40" s="42"/>
      <c r="J40" s="42"/>
      <c r="K40" s="42"/>
    </row>
    <row r="41" spans="1:11">
      <c r="G41" s="42"/>
      <c r="H41" s="42"/>
      <c r="I41" s="42"/>
      <c r="J41" s="42"/>
      <c r="K41" s="42"/>
    </row>
    <row r="42" spans="1:11">
      <c r="G42" s="42"/>
      <c r="H42" s="42"/>
      <c r="I42" s="42"/>
      <c r="J42" s="42"/>
      <c r="K42" s="42"/>
    </row>
    <row r="43" spans="1:11">
      <c r="G43" s="42"/>
      <c r="H43" s="42"/>
      <c r="I43" s="42"/>
      <c r="J43" s="42"/>
      <c r="K43" s="42"/>
    </row>
    <row r="44" spans="1:11">
      <c r="G44" s="42"/>
      <c r="H44" s="42"/>
      <c r="I44" s="42"/>
      <c r="J44" s="42"/>
      <c r="K44" s="42"/>
    </row>
    <row r="45" spans="1:11">
      <c r="G45" s="42"/>
      <c r="H45" s="42"/>
      <c r="I45" s="42"/>
      <c r="J45" s="42"/>
      <c r="K45" s="42"/>
    </row>
    <row r="46" spans="1:11">
      <c r="G46" s="42"/>
      <c r="H46" s="42"/>
      <c r="I46" s="42"/>
      <c r="J46" s="42"/>
      <c r="K46" s="42"/>
    </row>
    <row r="47" spans="1:11">
      <c r="G47" s="42"/>
      <c r="H47" s="42"/>
      <c r="I47" s="42"/>
      <c r="J47" s="42"/>
      <c r="K47" s="42"/>
    </row>
    <row r="48" spans="1:11">
      <c r="G48" s="42"/>
      <c r="H48" s="42"/>
      <c r="I48" s="42"/>
      <c r="J48" s="42"/>
      <c r="K48" s="4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Carlos Acevedo</vt:lpstr>
      <vt:lpstr>Samuel Inostroza</vt:lpstr>
      <vt:lpstr>Cristian Lizama</vt:lpstr>
      <vt:lpstr>Pablo Villarroel</vt:lpstr>
      <vt:lpstr>Mauricio Picart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Chaparro Navarro</cp:lastModifiedBy>
  <dcterms:created xsi:type="dcterms:W3CDTF">2026-05-29T17:29:54Z</dcterms:created>
  <dcterms:modified xsi:type="dcterms:W3CDTF">2026-05-29T17:38:32Z</dcterms:modified>
</cp:coreProperties>
</file>