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a51e5493e413da3/Desktop/Seguros Digitales/2.- El Roble - Coca Cola/Planificación Logistica/"/>
    </mc:Choice>
  </mc:AlternateContent>
  <xr:revisionPtr revIDLastSave="3" documentId="11_E03B030D2C5CBC4D741C62C30998DA4EA60DC958" xr6:coauthVersionLast="47" xr6:coauthVersionMax="47" xr10:uidLastSave="{F1B69390-0E17-450B-B086-8BAB97EDF0B6}"/>
  <bookViews>
    <workbookView xWindow="-108" yWindow="-108" windowWidth="23256" windowHeight="12456" xr2:uid="{00000000-000D-0000-FFFF-FFFF00000000}"/>
  </bookViews>
  <sheets>
    <sheet name="Carlos Acevedo" sheetId="1" r:id="rId1"/>
    <sheet name="Samuel Inostroza" sheetId="2" r:id="rId2"/>
    <sheet name="Cristian Lizam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D35" i="3"/>
  <c r="D36" i="3" s="1"/>
  <c r="B3" i="3"/>
  <c r="D3" i="3" s="1"/>
  <c r="E35" i="2"/>
  <c r="D35" i="2"/>
  <c r="D36" i="2" s="1"/>
  <c r="B3" i="2"/>
  <c r="D3" i="2" s="1"/>
  <c r="E35" i="1"/>
  <c r="D35" i="1"/>
  <c r="D36" i="1" s="1"/>
  <c r="B3" i="1"/>
  <c r="D3" i="1" s="1"/>
</calcChain>
</file>

<file path=xl/sharedStrings.xml><?xml version="1.0" encoding="utf-8"?>
<sst xmlns="http://schemas.openxmlformats.org/spreadsheetml/2006/main" count="285" uniqueCount="117">
  <si>
    <t>Planificacion mensual - Carlos Acevedo</t>
  </si>
  <si>
    <t>Periodo</t>
  </si>
  <si>
    <t>Junio</t>
  </si>
  <si>
    <t>Tope mensual km</t>
  </si>
  <si>
    <t>Km planificados</t>
  </si>
  <si>
    <t>Km disponibles</t>
  </si>
  <si>
    <t>Dia</t>
  </si>
  <si>
    <t>Fecha</t>
  </si>
  <si>
    <t>Ruta</t>
  </si>
  <si>
    <t>KLM</t>
  </si>
  <si>
    <t>Clientes (Minimos)</t>
  </si>
  <si>
    <t>Lunes</t>
  </si>
  <si>
    <t>01-06-2026</t>
  </si>
  <si>
    <t>Faustino Gonzalez</t>
  </si>
  <si>
    <t>Martes</t>
  </si>
  <si>
    <t>02-06-2026</t>
  </si>
  <si>
    <t>Los Conquistadores</t>
  </si>
  <si>
    <t>Miercoles</t>
  </si>
  <si>
    <t>03-06-2026</t>
  </si>
  <si>
    <t>Universidad de Talca</t>
  </si>
  <si>
    <t>Jueves</t>
  </si>
  <si>
    <t>04-06-2026</t>
  </si>
  <si>
    <t>Avenida Lircay</t>
  </si>
  <si>
    <t>Viernes</t>
  </si>
  <si>
    <t>05-06-2026</t>
  </si>
  <si>
    <t>Nueva Holanda</t>
  </si>
  <si>
    <t>Sabado</t>
  </si>
  <si>
    <t>06-06-2026</t>
  </si>
  <si>
    <t>Domingo</t>
  </si>
  <si>
    <t>07-06-2026</t>
  </si>
  <si>
    <t>08-06-2026</t>
  </si>
  <si>
    <t>Mall Plaza Talca</t>
  </si>
  <si>
    <t>09-06-2026</t>
  </si>
  <si>
    <t>Cooperativa Lircay</t>
  </si>
  <si>
    <t>10-06-2026</t>
  </si>
  <si>
    <t>San Miguel del Piduco</t>
  </si>
  <si>
    <t>11-06-2026</t>
  </si>
  <si>
    <t>Las Colines</t>
  </si>
  <si>
    <t>12-06-2026</t>
  </si>
  <si>
    <t>Villa Francia</t>
  </si>
  <si>
    <t>13-06-2026</t>
  </si>
  <si>
    <t>14-06-2026</t>
  </si>
  <si>
    <t>15-06-2026</t>
  </si>
  <si>
    <t>Talca Centro</t>
  </si>
  <si>
    <t>16-06-2026</t>
  </si>
  <si>
    <t>Centro Oriente</t>
  </si>
  <si>
    <t>17-06-2026</t>
  </si>
  <si>
    <t>Abate Molina</t>
  </si>
  <si>
    <t>18-06-2026</t>
  </si>
  <si>
    <t>Abate Molina Sur</t>
  </si>
  <si>
    <t>19-06-2026</t>
  </si>
  <si>
    <t>Barrio Norte</t>
  </si>
  <si>
    <t>20-06-2026</t>
  </si>
  <si>
    <t>21-06-2026</t>
  </si>
  <si>
    <t>22-06-2026</t>
  </si>
  <si>
    <t>Santa Ana Crea</t>
  </si>
  <si>
    <t>23-06-2026</t>
  </si>
  <si>
    <t>Supermercados Talca</t>
  </si>
  <si>
    <t>24-06-2026</t>
  </si>
  <si>
    <t>San Clemente</t>
  </si>
  <si>
    <t>25-06-2026</t>
  </si>
  <si>
    <t>Chile Nuevo</t>
  </si>
  <si>
    <t>26-06-2026</t>
  </si>
  <si>
    <t>Cancha Carreras</t>
  </si>
  <si>
    <t>27-06-2026</t>
  </si>
  <si>
    <t>28-06-2026</t>
  </si>
  <si>
    <t>29-06-2026</t>
  </si>
  <si>
    <t>Orilla de Maule</t>
  </si>
  <si>
    <t>30-06-2026</t>
  </si>
  <si>
    <t>Luis Cruz Martinez</t>
  </si>
  <si>
    <t>Total mensual</t>
  </si>
  <si>
    <t>Planificacion mensual - Samuel Inostroza</t>
  </si>
  <si>
    <t>Centro Plaza</t>
  </si>
  <si>
    <t>Centro Norte</t>
  </si>
  <si>
    <t>Feria - Mall - Terminal</t>
  </si>
  <si>
    <t>El Boldo</t>
  </si>
  <si>
    <t>Aguas Negras</t>
  </si>
  <si>
    <t>Guaiquillo - Aguas Negras</t>
  </si>
  <si>
    <t>Hospital - Alameda - Mataquito</t>
  </si>
  <si>
    <t>Santa Fe</t>
  </si>
  <si>
    <t>Santa Lucia - Santos Martínez</t>
  </si>
  <si>
    <t>Sarmiento - Rauquen</t>
  </si>
  <si>
    <t>Teno - Arboleda</t>
  </si>
  <si>
    <t>Lontue - Sagrada Familia</t>
  </si>
  <si>
    <t>Sol de Septiembre - Manuel Rodríguez</t>
  </si>
  <si>
    <t>Bombero Garrido - Tutuquen</t>
  </si>
  <si>
    <t>Itahue Molina Estación</t>
  </si>
  <si>
    <t>Carretera Rauquen - Avda. España</t>
  </si>
  <si>
    <t>Lontue - Pichingal - Casa Blanca</t>
  </si>
  <si>
    <t>Villa Prat - Sagrada Familia</t>
  </si>
  <si>
    <t>La Montaña - Teno - Viluco</t>
  </si>
  <si>
    <t>Licantén</t>
  </si>
  <si>
    <t>Iloca - Duao - Lipimavida</t>
  </si>
  <si>
    <t>Curepto</t>
  </si>
  <si>
    <t>Planificacion mensual - Cristian Lizama</t>
  </si>
  <si>
    <t>SAN FDO. - CENTRO</t>
  </si>
  <si>
    <t>SAN FDO. CENTRO 2</t>
  </si>
  <si>
    <t>SAN FDO. - MANSO DE VELASCO</t>
  </si>
  <si>
    <t>SAN FDO. TERMINAL</t>
  </si>
  <si>
    <t>SAN FDO. - INDEPENDENCIA</t>
  </si>
  <si>
    <t>SAN FDO. - NOR PONIENTE</t>
  </si>
  <si>
    <t>SAN FDO. - ORIENTE</t>
  </si>
  <si>
    <t>SAN FDO. - CENTINELA</t>
  </si>
  <si>
    <t>VILLA ALEGRE - LA TUNA</t>
  </si>
  <si>
    <t>CHIMBARONGO  CENTRO</t>
  </si>
  <si>
    <t>CHIMBARONGO CENTRO PTE.</t>
  </si>
  <si>
    <t>PLACILLA</t>
  </si>
  <si>
    <t>NANCAGUA -CENTRO</t>
  </si>
  <si>
    <t>NANCAGUA - SAN GREGORIO</t>
  </si>
  <si>
    <t>ROMERAL - SAN JUAN - TINGURIRICA</t>
  </si>
  <si>
    <t>APALTA - PANIAHUE</t>
  </si>
  <si>
    <t>PERALILLO</t>
  </si>
  <si>
    <t>LOLOL - LA LAJUELA</t>
  </si>
  <si>
    <t>MARCGIHUE</t>
  </si>
  <si>
    <t>PAREDONES - LOLOL</t>
  </si>
  <si>
    <t>PICHILEMU - CENTRO</t>
  </si>
  <si>
    <t>PICHILEMU -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</si>
</sst>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16" workbookViewId="0">
      <selection activeCell="D34" sqref="D34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 x14ac:dyDescent="0.3">
      <c r="A1" s="16" t="s">
        <v>0</v>
      </c>
      <c r="B1" s="17"/>
      <c r="C1" s="17"/>
      <c r="D1" s="17"/>
      <c r="E1" s="17"/>
    </row>
    <row r="2" spans="1:5" ht="18" customHeight="1" x14ac:dyDescent="0.3">
      <c r="A2" s="1" t="s">
        <v>1</v>
      </c>
      <c r="B2" s="2" t="s">
        <v>2</v>
      </c>
      <c r="C2" s="1" t="s">
        <v>3</v>
      </c>
      <c r="D2" s="3">
        <v>1446</v>
      </c>
      <c r="E2" s="2"/>
    </row>
    <row r="3" spans="1:5" ht="18" customHeight="1" x14ac:dyDescent="0.3">
      <c r="A3" s="1" t="s">
        <v>4</v>
      </c>
      <c r="B3" s="3">
        <f>SUM(D5:D34)</f>
        <v>1459</v>
      </c>
      <c r="C3" s="1" t="s">
        <v>5</v>
      </c>
      <c r="D3" s="4">
        <f>D2-B3</f>
        <v>-13</v>
      </c>
      <c r="E3" s="2"/>
    </row>
    <row r="4" spans="1:5" ht="18" customHeight="1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 x14ac:dyDescent="0.3">
      <c r="A5" s="2" t="s">
        <v>11</v>
      </c>
      <c r="B5" s="2" t="s">
        <v>12</v>
      </c>
      <c r="C5" s="6" t="s">
        <v>13</v>
      </c>
      <c r="D5" s="3">
        <v>50</v>
      </c>
      <c r="E5" s="2">
        <v>15</v>
      </c>
    </row>
    <row r="6" spans="1:5" ht="16.05" customHeight="1" x14ac:dyDescent="0.3">
      <c r="A6" s="2" t="s">
        <v>14</v>
      </c>
      <c r="B6" s="2" t="s">
        <v>15</v>
      </c>
      <c r="C6" s="6" t="s">
        <v>16</v>
      </c>
      <c r="D6" s="3">
        <v>50</v>
      </c>
      <c r="E6" s="2">
        <v>15</v>
      </c>
    </row>
    <row r="7" spans="1:5" ht="16.05" customHeight="1" x14ac:dyDescent="0.3">
      <c r="A7" s="2" t="s">
        <v>17</v>
      </c>
      <c r="B7" s="2" t="s">
        <v>18</v>
      </c>
      <c r="C7" s="6" t="s">
        <v>19</v>
      </c>
      <c r="D7" s="3">
        <v>55</v>
      </c>
      <c r="E7" s="2">
        <v>15</v>
      </c>
    </row>
    <row r="8" spans="1:5" ht="16.05" customHeight="1" x14ac:dyDescent="0.3">
      <c r="A8" s="2" t="s">
        <v>20</v>
      </c>
      <c r="B8" s="2" t="s">
        <v>21</v>
      </c>
      <c r="C8" s="6" t="s">
        <v>22</v>
      </c>
      <c r="D8" s="3">
        <v>55</v>
      </c>
      <c r="E8" s="2">
        <v>15</v>
      </c>
    </row>
    <row r="9" spans="1:5" ht="16.05" customHeight="1" x14ac:dyDescent="0.3">
      <c r="A9" s="2" t="s">
        <v>23</v>
      </c>
      <c r="B9" s="2" t="s">
        <v>24</v>
      </c>
      <c r="C9" s="6" t="s">
        <v>25</v>
      </c>
      <c r="D9" s="3">
        <v>60</v>
      </c>
      <c r="E9" s="2">
        <v>15</v>
      </c>
    </row>
    <row r="10" spans="1:5" ht="16.05" customHeight="1" x14ac:dyDescent="0.3">
      <c r="A10" s="7" t="s">
        <v>26</v>
      </c>
      <c r="B10" s="7" t="s">
        <v>27</v>
      </c>
      <c r="C10" s="8"/>
      <c r="D10" s="9"/>
      <c r="E10" s="7"/>
    </row>
    <row r="11" spans="1:5" ht="16.05" customHeight="1" x14ac:dyDescent="0.3">
      <c r="A11" s="7" t="s">
        <v>28</v>
      </c>
      <c r="B11" s="7" t="s">
        <v>29</v>
      </c>
      <c r="C11" s="8"/>
      <c r="D11" s="9"/>
      <c r="E11" s="7"/>
    </row>
    <row r="12" spans="1:5" ht="16.05" customHeight="1" x14ac:dyDescent="0.3">
      <c r="A12" s="2" t="s">
        <v>11</v>
      </c>
      <c r="B12" s="2" t="s">
        <v>30</v>
      </c>
      <c r="C12" s="6" t="s">
        <v>31</v>
      </c>
      <c r="D12" s="3">
        <v>60</v>
      </c>
      <c r="E12" s="2">
        <v>15</v>
      </c>
    </row>
    <row r="13" spans="1:5" ht="16.05" customHeight="1" x14ac:dyDescent="0.3">
      <c r="A13" s="2" t="s">
        <v>14</v>
      </c>
      <c r="B13" s="2" t="s">
        <v>32</v>
      </c>
      <c r="C13" s="6" t="s">
        <v>33</v>
      </c>
      <c r="D13" s="3">
        <v>60</v>
      </c>
      <c r="E13" s="2">
        <v>15</v>
      </c>
    </row>
    <row r="14" spans="1:5" ht="16.05" customHeight="1" x14ac:dyDescent="0.3">
      <c r="A14" s="2" t="s">
        <v>17</v>
      </c>
      <c r="B14" s="2" t="s">
        <v>34</v>
      </c>
      <c r="C14" s="6" t="s">
        <v>35</v>
      </c>
      <c r="D14" s="3">
        <v>60</v>
      </c>
      <c r="E14" s="2">
        <v>15</v>
      </c>
    </row>
    <row r="15" spans="1:5" ht="16.05" customHeight="1" x14ac:dyDescent="0.3">
      <c r="A15" s="2" t="s">
        <v>20</v>
      </c>
      <c r="B15" s="2" t="s">
        <v>36</v>
      </c>
      <c r="C15" s="6" t="s">
        <v>37</v>
      </c>
      <c r="D15" s="3">
        <v>65</v>
      </c>
      <c r="E15" s="2">
        <v>15</v>
      </c>
    </row>
    <row r="16" spans="1:5" ht="16.05" customHeight="1" x14ac:dyDescent="0.3">
      <c r="A16" s="2" t="s">
        <v>23</v>
      </c>
      <c r="B16" s="2" t="s">
        <v>38</v>
      </c>
      <c r="C16" s="6" t="s">
        <v>39</v>
      </c>
      <c r="D16" s="3">
        <v>65</v>
      </c>
      <c r="E16" s="2">
        <v>15</v>
      </c>
    </row>
    <row r="17" spans="1:5" ht="16.05" customHeight="1" x14ac:dyDescent="0.3">
      <c r="A17" s="7" t="s">
        <v>26</v>
      </c>
      <c r="B17" s="7" t="s">
        <v>40</v>
      </c>
      <c r="C17" s="8"/>
      <c r="D17" s="9"/>
      <c r="E17" s="7"/>
    </row>
    <row r="18" spans="1:5" ht="16.05" customHeight="1" x14ac:dyDescent="0.3">
      <c r="A18" s="7" t="s">
        <v>28</v>
      </c>
      <c r="B18" s="7" t="s">
        <v>41</v>
      </c>
      <c r="C18" s="8"/>
      <c r="D18" s="9"/>
      <c r="E18" s="7"/>
    </row>
    <row r="19" spans="1:5" ht="16.05" customHeight="1" x14ac:dyDescent="0.3">
      <c r="A19" s="2" t="s">
        <v>11</v>
      </c>
      <c r="B19" s="2" t="s">
        <v>42</v>
      </c>
      <c r="C19" s="6" t="s">
        <v>43</v>
      </c>
      <c r="D19" s="3">
        <v>65</v>
      </c>
      <c r="E19" s="2">
        <v>15</v>
      </c>
    </row>
    <row r="20" spans="1:5" ht="16.05" customHeight="1" x14ac:dyDescent="0.3">
      <c r="A20" s="2" t="s">
        <v>14</v>
      </c>
      <c r="B20" s="2" t="s">
        <v>44</v>
      </c>
      <c r="C20" s="6" t="s">
        <v>45</v>
      </c>
      <c r="D20" s="3">
        <v>65</v>
      </c>
      <c r="E20" s="2">
        <v>15</v>
      </c>
    </row>
    <row r="21" spans="1:5" ht="16.05" customHeight="1" x14ac:dyDescent="0.3">
      <c r="A21" s="2" t="s">
        <v>17</v>
      </c>
      <c r="B21" s="2" t="s">
        <v>46</v>
      </c>
      <c r="C21" s="6" t="s">
        <v>47</v>
      </c>
      <c r="D21" s="3">
        <v>65</v>
      </c>
      <c r="E21" s="2">
        <v>15</v>
      </c>
    </row>
    <row r="22" spans="1:5" ht="16.05" customHeight="1" x14ac:dyDescent="0.3">
      <c r="A22" s="2" t="s">
        <v>20</v>
      </c>
      <c r="B22" s="2" t="s">
        <v>48</v>
      </c>
      <c r="C22" s="6" t="s">
        <v>49</v>
      </c>
      <c r="D22" s="3">
        <v>65</v>
      </c>
      <c r="E22" s="2">
        <v>15</v>
      </c>
    </row>
    <row r="23" spans="1:5" ht="16.05" customHeight="1" x14ac:dyDescent="0.3">
      <c r="A23" s="2" t="s">
        <v>23</v>
      </c>
      <c r="B23" s="2" t="s">
        <v>50</v>
      </c>
      <c r="C23" s="6" t="s">
        <v>51</v>
      </c>
      <c r="D23" s="3">
        <v>65</v>
      </c>
      <c r="E23" s="2">
        <v>15</v>
      </c>
    </row>
    <row r="24" spans="1:5" ht="16.05" customHeight="1" x14ac:dyDescent="0.3">
      <c r="A24" s="7" t="s">
        <v>26</v>
      </c>
      <c r="B24" s="7" t="s">
        <v>52</v>
      </c>
      <c r="C24" s="8"/>
      <c r="D24" s="9"/>
      <c r="E24" s="7"/>
    </row>
    <row r="25" spans="1:5" ht="16.05" customHeight="1" x14ac:dyDescent="0.3">
      <c r="A25" s="7" t="s">
        <v>28</v>
      </c>
      <c r="B25" s="7" t="s">
        <v>53</v>
      </c>
      <c r="C25" s="8"/>
      <c r="D25" s="9"/>
      <c r="E25" s="7"/>
    </row>
    <row r="26" spans="1:5" ht="16.05" customHeight="1" x14ac:dyDescent="0.3">
      <c r="A26" s="2" t="s">
        <v>11</v>
      </c>
      <c r="B26" s="2" t="s">
        <v>54</v>
      </c>
      <c r="C26" s="6" t="s">
        <v>55</v>
      </c>
      <c r="D26" s="3">
        <v>65</v>
      </c>
      <c r="E26" s="2">
        <v>15</v>
      </c>
    </row>
    <row r="27" spans="1:5" ht="16.05" customHeight="1" x14ac:dyDescent="0.3">
      <c r="A27" s="2" t="s">
        <v>14</v>
      </c>
      <c r="B27" s="2" t="s">
        <v>56</v>
      </c>
      <c r="C27" s="6" t="s">
        <v>57</v>
      </c>
      <c r="D27" s="3">
        <v>65</v>
      </c>
      <c r="E27" s="2">
        <v>15</v>
      </c>
    </row>
    <row r="28" spans="1:5" ht="16.05" customHeight="1" x14ac:dyDescent="0.3">
      <c r="A28" s="2" t="s">
        <v>17</v>
      </c>
      <c r="B28" s="2" t="s">
        <v>58</v>
      </c>
      <c r="C28" s="6" t="s">
        <v>59</v>
      </c>
      <c r="D28" s="3">
        <v>85</v>
      </c>
      <c r="E28" s="2">
        <v>15</v>
      </c>
    </row>
    <row r="29" spans="1:5" ht="16.05" customHeight="1" x14ac:dyDescent="0.3">
      <c r="A29" s="2" t="s">
        <v>20</v>
      </c>
      <c r="B29" s="2" t="s">
        <v>60</v>
      </c>
      <c r="C29" s="6" t="s">
        <v>61</v>
      </c>
      <c r="D29" s="3">
        <v>85</v>
      </c>
      <c r="E29" s="2">
        <v>15</v>
      </c>
    </row>
    <row r="30" spans="1:5" ht="16.05" customHeight="1" x14ac:dyDescent="0.3">
      <c r="A30" s="2" t="s">
        <v>23</v>
      </c>
      <c r="B30" s="2" t="s">
        <v>62</v>
      </c>
      <c r="C30" s="6" t="s">
        <v>63</v>
      </c>
      <c r="D30" s="3">
        <v>89</v>
      </c>
      <c r="E30" s="2">
        <v>15</v>
      </c>
    </row>
    <row r="31" spans="1:5" ht="16.05" customHeight="1" x14ac:dyDescent="0.3">
      <c r="A31" s="7" t="s">
        <v>26</v>
      </c>
      <c r="B31" s="7" t="s">
        <v>64</v>
      </c>
      <c r="C31" s="8"/>
      <c r="D31" s="9"/>
      <c r="E31" s="7"/>
    </row>
    <row r="32" spans="1:5" ht="16.05" customHeight="1" x14ac:dyDescent="0.3">
      <c r="A32" s="7" t="s">
        <v>28</v>
      </c>
      <c r="B32" s="7" t="s">
        <v>65</v>
      </c>
      <c r="C32" s="8"/>
      <c r="D32" s="9"/>
      <c r="E32" s="7"/>
    </row>
    <row r="33" spans="1:5" ht="16.05" customHeight="1" x14ac:dyDescent="0.3">
      <c r="A33" s="2" t="s">
        <v>11</v>
      </c>
      <c r="B33" s="2" t="s">
        <v>66</v>
      </c>
      <c r="C33" s="6" t="s">
        <v>67</v>
      </c>
      <c r="D33" s="3">
        <v>0</v>
      </c>
      <c r="E33" s="2">
        <v>15</v>
      </c>
    </row>
    <row r="34" spans="1:5" ht="16.05" customHeight="1" x14ac:dyDescent="0.3">
      <c r="A34" s="2" t="s">
        <v>14</v>
      </c>
      <c r="B34" s="2" t="s">
        <v>68</v>
      </c>
      <c r="C34" s="6" t="s">
        <v>69</v>
      </c>
      <c r="D34" s="3">
        <v>165</v>
      </c>
      <c r="E34" s="2">
        <v>15</v>
      </c>
    </row>
    <row r="35" spans="1:5" ht="18" customHeight="1" x14ac:dyDescent="0.3">
      <c r="A35" s="10" t="s">
        <v>70</v>
      </c>
      <c r="B35" s="11"/>
      <c r="C35" s="11"/>
      <c r="D35" s="12">
        <f>SUM(D5:D34)</f>
        <v>1459</v>
      </c>
      <c r="E35" s="12">
        <f>SUM(E5:E34)</f>
        <v>330</v>
      </c>
    </row>
    <row r="36" spans="1:5" ht="18" customHeight="1" x14ac:dyDescent="0.3">
      <c r="A36" s="13" t="s">
        <v>5</v>
      </c>
      <c r="B36" s="14"/>
      <c r="C36" s="14"/>
      <c r="D36" s="15">
        <f>D2-D35</f>
        <v>-13</v>
      </c>
      <c r="E36" s="14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>
      <selection sqref="A1:E1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 x14ac:dyDescent="0.3">
      <c r="A1" s="16" t="s">
        <v>71</v>
      </c>
      <c r="B1" s="17"/>
      <c r="C1" s="17"/>
      <c r="D1" s="17"/>
      <c r="E1" s="17"/>
    </row>
    <row r="2" spans="1:5" ht="18" customHeight="1" x14ac:dyDescent="0.3">
      <c r="A2" s="1" t="s">
        <v>1</v>
      </c>
      <c r="B2" s="2" t="s">
        <v>2</v>
      </c>
      <c r="C2" s="1" t="s">
        <v>3</v>
      </c>
      <c r="D2" s="3">
        <v>2209</v>
      </c>
      <c r="E2" s="2"/>
    </row>
    <row r="3" spans="1:5" ht="18" customHeight="1" x14ac:dyDescent="0.3">
      <c r="A3" s="1" t="s">
        <v>4</v>
      </c>
      <c r="B3" s="3">
        <f>SUM(D5:D34)</f>
        <v>2429</v>
      </c>
      <c r="C3" s="1" t="s">
        <v>5</v>
      </c>
      <c r="D3" s="4">
        <f>D2-B3</f>
        <v>-220</v>
      </c>
      <c r="E3" s="2"/>
    </row>
    <row r="4" spans="1:5" ht="18" customHeight="1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 x14ac:dyDescent="0.3">
      <c r="A5" s="2" t="s">
        <v>11</v>
      </c>
      <c r="B5" s="2" t="s">
        <v>12</v>
      </c>
      <c r="C5" s="6" t="s">
        <v>72</v>
      </c>
      <c r="D5" s="3">
        <v>47</v>
      </c>
      <c r="E5" s="2">
        <v>15</v>
      </c>
    </row>
    <row r="6" spans="1:5" ht="16.05" customHeight="1" x14ac:dyDescent="0.3">
      <c r="A6" s="2" t="s">
        <v>14</v>
      </c>
      <c r="B6" s="2" t="s">
        <v>15</v>
      </c>
      <c r="C6" s="6" t="s">
        <v>73</v>
      </c>
      <c r="D6" s="3">
        <v>47</v>
      </c>
      <c r="E6" s="2">
        <v>15</v>
      </c>
    </row>
    <row r="7" spans="1:5" ht="16.05" customHeight="1" x14ac:dyDescent="0.3">
      <c r="A7" s="2" t="s">
        <v>17</v>
      </c>
      <c r="B7" s="2" t="s">
        <v>18</v>
      </c>
      <c r="C7" s="6" t="s">
        <v>74</v>
      </c>
      <c r="D7" s="3">
        <v>47</v>
      </c>
      <c r="E7" s="2">
        <v>15</v>
      </c>
    </row>
    <row r="8" spans="1:5" ht="16.05" customHeight="1" x14ac:dyDescent="0.3">
      <c r="A8" s="2" t="s">
        <v>20</v>
      </c>
      <c r="B8" s="2" t="s">
        <v>21</v>
      </c>
      <c r="C8" s="6" t="s">
        <v>75</v>
      </c>
      <c r="D8" s="3">
        <v>59</v>
      </c>
      <c r="E8" s="2">
        <v>15</v>
      </c>
    </row>
    <row r="9" spans="1:5" ht="16.05" customHeight="1" x14ac:dyDescent="0.3">
      <c r="A9" s="2" t="s">
        <v>23</v>
      </c>
      <c r="B9" s="2" t="s">
        <v>24</v>
      </c>
      <c r="C9" s="6" t="s">
        <v>76</v>
      </c>
      <c r="D9" s="3">
        <v>59</v>
      </c>
      <c r="E9" s="2">
        <v>15</v>
      </c>
    </row>
    <row r="10" spans="1:5" ht="16.05" customHeight="1" x14ac:dyDescent="0.3">
      <c r="A10" s="7" t="s">
        <v>26</v>
      </c>
      <c r="B10" s="7" t="s">
        <v>27</v>
      </c>
      <c r="C10" s="8"/>
      <c r="D10" s="9"/>
      <c r="E10" s="7"/>
    </row>
    <row r="11" spans="1:5" ht="16.05" customHeight="1" x14ac:dyDescent="0.3">
      <c r="A11" s="7" t="s">
        <v>28</v>
      </c>
      <c r="B11" s="7" t="s">
        <v>29</v>
      </c>
      <c r="C11" s="8"/>
      <c r="D11" s="9"/>
      <c r="E11" s="7"/>
    </row>
    <row r="12" spans="1:5" ht="16.05" customHeight="1" x14ac:dyDescent="0.3">
      <c r="A12" s="2" t="s">
        <v>11</v>
      </c>
      <c r="B12" s="2" t="s">
        <v>30</v>
      </c>
      <c r="C12" s="6" t="s">
        <v>77</v>
      </c>
      <c r="D12" s="3">
        <v>63</v>
      </c>
      <c r="E12" s="2">
        <v>15</v>
      </c>
    </row>
    <row r="13" spans="1:5" ht="16.05" customHeight="1" x14ac:dyDescent="0.3">
      <c r="A13" s="2" t="s">
        <v>14</v>
      </c>
      <c r="B13" s="2" t="s">
        <v>32</v>
      </c>
      <c r="C13" s="6" t="s">
        <v>78</v>
      </c>
      <c r="D13" s="3">
        <v>68</v>
      </c>
      <c r="E13" s="2">
        <v>15</v>
      </c>
    </row>
    <row r="14" spans="1:5" ht="16.05" customHeight="1" x14ac:dyDescent="0.3">
      <c r="A14" s="2" t="s">
        <v>17</v>
      </c>
      <c r="B14" s="2" t="s">
        <v>34</v>
      </c>
      <c r="C14" s="6" t="s">
        <v>79</v>
      </c>
      <c r="D14" s="3">
        <v>69</v>
      </c>
      <c r="E14" s="2">
        <v>15</v>
      </c>
    </row>
    <row r="15" spans="1:5" ht="16.05" customHeight="1" x14ac:dyDescent="0.3">
      <c r="A15" s="2" t="s">
        <v>20</v>
      </c>
      <c r="B15" s="2" t="s">
        <v>36</v>
      </c>
      <c r="C15" s="6" t="s">
        <v>80</v>
      </c>
      <c r="D15" s="3">
        <v>69</v>
      </c>
      <c r="E15" s="2">
        <v>15</v>
      </c>
    </row>
    <row r="16" spans="1:5" ht="16.05" customHeight="1" x14ac:dyDescent="0.3">
      <c r="A16" s="2" t="s">
        <v>23</v>
      </c>
      <c r="B16" s="2" t="s">
        <v>38</v>
      </c>
      <c r="C16" s="6" t="s">
        <v>81</v>
      </c>
      <c r="D16" s="3">
        <v>78</v>
      </c>
      <c r="E16" s="2">
        <v>15</v>
      </c>
    </row>
    <row r="17" spans="1:5" ht="16.05" customHeight="1" x14ac:dyDescent="0.3">
      <c r="A17" s="7" t="s">
        <v>26</v>
      </c>
      <c r="B17" s="7" t="s">
        <v>40</v>
      </c>
      <c r="C17" s="8"/>
      <c r="D17" s="9"/>
      <c r="E17" s="7"/>
    </row>
    <row r="18" spans="1:5" ht="16.05" customHeight="1" x14ac:dyDescent="0.3">
      <c r="A18" s="7" t="s">
        <v>28</v>
      </c>
      <c r="B18" s="7" t="s">
        <v>41</v>
      </c>
      <c r="C18" s="8"/>
      <c r="D18" s="9"/>
      <c r="E18" s="7"/>
    </row>
    <row r="19" spans="1:5" ht="16.05" customHeight="1" x14ac:dyDescent="0.3">
      <c r="A19" s="2" t="s">
        <v>11</v>
      </c>
      <c r="B19" s="2" t="s">
        <v>42</v>
      </c>
      <c r="C19" s="6" t="s">
        <v>82</v>
      </c>
      <c r="D19" s="3">
        <v>94</v>
      </c>
      <c r="E19" s="2">
        <v>15</v>
      </c>
    </row>
    <row r="20" spans="1:5" ht="16.05" customHeight="1" x14ac:dyDescent="0.3">
      <c r="A20" s="2" t="s">
        <v>14</v>
      </c>
      <c r="B20" s="2" t="s">
        <v>44</v>
      </c>
      <c r="C20" s="6" t="s">
        <v>83</v>
      </c>
      <c r="D20" s="3">
        <v>98</v>
      </c>
      <c r="E20" s="2">
        <v>15</v>
      </c>
    </row>
    <row r="21" spans="1:5" ht="16.05" customHeight="1" x14ac:dyDescent="0.3">
      <c r="A21" s="2" t="s">
        <v>17</v>
      </c>
      <c r="B21" s="2" t="s">
        <v>46</v>
      </c>
      <c r="C21" s="6" t="s">
        <v>84</v>
      </c>
      <c r="D21" s="3">
        <v>98</v>
      </c>
      <c r="E21" s="2">
        <v>15</v>
      </c>
    </row>
    <row r="22" spans="1:5" ht="16.05" customHeight="1" x14ac:dyDescent="0.3">
      <c r="A22" s="2" t="s">
        <v>20</v>
      </c>
      <c r="B22" s="2" t="s">
        <v>48</v>
      </c>
      <c r="C22" s="6" t="s">
        <v>85</v>
      </c>
      <c r="D22" s="3">
        <v>98</v>
      </c>
      <c r="E22" s="2">
        <v>15</v>
      </c>
    </row>
    <row r="23" spans="1:5" ht="16.05" customHeight="1" x14ac:dyDescent="0.3">
      <c r="A23" s="2" t="s">
        <v>23</v>
      </c>
      <c r="B23" s="2" t="s">
        <v>50</v>
      </c>
      <c r="C23" s="6" t="s">
        <v>86</v>
      </c>
      <c r="D23" s="3">
        <v>102</v>
      </c>
      <c r="E23" s="2">
        <v>15</v>
      </c>
    </row>
    <row r="24" spans="1:5" ht="16.05" customHeight="1" x14ac:dyDescent="0.3">
      <c r="A24" s="7" t="s">
        <v>26</v>
      </c>
      <c r="B24" s="7" t="s">
        <v>52</v>
      </c>
      <c r="C24" s="8"/>
      <c r="D24" s="9"/>
      <c r="E24" s="7"/>
    </row>
    <row r="25" spans="1:5" ht="16.05" customHeight="1" x14ac:dyDescent="0.3">
      <c r="A25" s="7" t="s">
        <v>28</v>
      </c>
      <c r="B25" s="7" t="s">
        <v>53</v>
      </c>
      <c r="C25" s="8"/>
      <c r="D25" s="9"/>
      <c r="E25" s="7"/>
    </row>
    <row r="26" spans="1:5" ht="16.05" customHeight="1" x14ac:dyDescent="0.3">
      <c r="A26" s="2" t="s">
        <v>11</v>
      </c>
      <c r="B26" s="2" t="s">
        <v>54</v>
      </c>
      <c r="C26" s="6" t="s">
        <v>87</v>
      </c>
      <c r="D26" s="3">
        <v>108</v>
      </c>
      <c r="E26" s="2">
        <v>15</v>
      </c>
    </row>
    <row r="27" spans="1:5" ht="16.05" customHeight="1" x14ac:dyDescent="0.3">
      <c r="A27" s="2" t="s">
        <v>14</v>
      </c>
      <c r="B27" s="2" t="s">
        <v>56</v>
      </c>
      <c r="C27" s="6" t="s">
        <v>88</v>
      </c>
      <c r="D27" s="3">
        <v>108</v>
      </c>
      <c r="E27" s="2">
        <v>15</v>
      </c>
    </row>
    <row r="28" spans="1:5" ht="16.05" customHeight="1" x14ac:dyDescent="0.3">
      <c r="A28" s="2" t="s">
        <v>17</v>
      </c>
      <c r="B28" s="2" t="s">
        <v>58</v>
      </c>
      <c r="C28" s="6" t="s">
        <v>89</v>
      </c>
      <c r="D28" s="3">
        <v>148</v>
      </c>
      <c r="E28" s="2">
        <v>15</v>
      </c>
    </row>
    <row r="29" spans="1:5" ht="16.05" customHeight="1" x14ac:dyDescent="0.3">
      <c r="A29" s="2" t="s">
        <v>20</v>
      </c>
      <c r="B29" s="2" t="s">
        <v>60</v>
      </c>
      <c r="C29" s="6" t="s">
        <v>90</v>
      </c>
      <c r="D29" s="3">
        <v>149</v>
      </c>
      <c r="E29" s="2">
        <v>15</v>
      </c>
    </row>
    <row r="30" spans="1:5" ht="16.05" customHeight="1" x14ac:dyDescent="0.3">
      <c r="A30" s="2" t="s">
        <v>23</v>
      </c>
      <c r="B30" s="2" t="s">
        <v>62</v>
      </c>
      <c r="C30" s="6" t="s">
        <v>91</v>
      </c>
      <c r="D30" s="3">
        <v>249</v>
      </c>
      <c r="E30" s="2">
        <v>15</v>
      </c>
    </row>
    <row r="31" spans="1:5" ht="16.05" customHeight="1" x14ac:dyDescent="0.3">
      <c r="A31" s="7" t="s">
        <v>26</v>
      </c>
      <c r="B31" s="7" t="s">
        <v>64</v>
      </c>
      <c r="C31" s="8"/>
      <c r="D31" s="9"/>
      <c r="E31" s="7"/>
    </row>
    <row r="32" spans="1:5" ht="16.05" customHeight="1" x14ac:dyDescent="0.3">
      <c r="A32" s="7" t="s">
        <v>28</v>
      </c>
      <c r="B32" s="7" t="s">
        <v>65</v>
      </c>
      <c r="C32" s="8"/>
      <c r="D32" s="9"/>
      <c r="E32" s="7"/>
    </row>
    <row r="33" spans="1:5" ht="16.05" customHeight="1" x14ac:dyDescent="0.3">
      <c r="A33" s="2" t="s">
        <v>11</v>
      </c>
      <c r="B33" s="2" t="s">
        <v>66</v>
      </c>
      <c r="C33" s="6" t="s">
        <v>92</v>
      </c>
      <c r="D33" s="3">
        <v>284</v>
      </c>
      <c r="E33" s="2">
        <v>15</v>
      </c>
    </row>
    <row r="34" spans="1:5" ht="16.05" customHeight="1" x14ac:dyDescent="0.3">
      <c r="A34" s="2" t="s">
        <v>14</v>
      </c>
      <c r="B34" s="2" t="s">
        <v>68</v>
      </c>
      <c r="C34" s="6" t="s">
        <v>93</v>
      </c>
      <c r="D34" s="3">
        <v>287</v>
      </c>
      <c r="E34" s="2">
        <v>15</v>
      </c>
    </row>
    <row r="35" spans="1:5" ht="18" customHeight="1" x14ac:dyDescent="0.3">
      <c r="A35" s="10" t="s">
        <v>70</v>
      </c>
      <c r="B35" s="11"/>
      <c r="C35" s="11"/>
      <c r="D35" s="12">
        <f>SUM(D5:D34)</f>
        <v>2429</v>
      </c>
      <c r="E35" s="12">
        <f>SUM(E5:E34)</f>
        <v>330</v>
      </c>
    </row>
    <row r="36" spans="1:5" ht="18" customHeight="1" x14ac:dyDescent="0.3">
      <c r="A36" s="13" t="s">
        <v>5</v>
      </c>
      <c r="B36" s="14"/>
      <c r="C36" s="14"/>
      <c r="D36" s="15">
        <f>D2-D35</f>
        <v>-220</v>
      </c>
      <c r="E36" s="14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topLeftCell="A28" workbookViewId="0">
      <selection activeCell="C33" sqref="C33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 x14ac:dyDescent="0.3">
      <c r="A1" s="16" t="s">
        <v>94</v>
      </c>
      <c r="B1" s="17"/>
      <c r="C1" s="17"/>
      <c r="D1" s="17"/>
      <c r="E1" s="17"/>
    </row>
    <row r="2" spans="1:5" ht="18" customHeight="1" x14ac:dyDescent="0.3">
      <c r="A2" s="1" t="s">
        <v>1</v>
      </c>
      <c r="B2" s="2" t="s">
        <v>2</v>
      </c>
      <c r="C2" s="1" t="s">
        <v>3</v>
      </c>
      <c r="D2" s="3">
        <v>1990</v>
      </c>
      <c r="E2" s="2"/>
    </row>
    <row r="3" spans="1:5" ht="18" customHeight="1" x14ac:dyDescent="0.3">
      <c r="A3" s="1" t="s">
        <v>4</v>
      </c>
      <c r="B3" s="3">
        <f>SUM(D5:D34)</f>
        <v>2188</v>
      </c>
      <c r="C3" s="1" t="s">
        <v>5</v>
      </c>
      <c r="D3" s="4">
        <f>D2-B3</f>
        <v>-198</v>
      </c>
      <c r="E3" s="2"/>
    </row>
    <row r="4" spans="1:5" ht="18" customHeight="1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 x14ac:dyDescent="0.3">
      <c r="A5" s="2" t="s">
        <v>11</v>
      </c>
      <c r="B5" s="2" t="s">
        <v>12</v>
      </c>
      <c r="C5" s="6" t="s">
        <v>95</v>
      </c>
      <c r="D5" s="3">
        <v>25</v>
      </c>
      <c r="E5" s="2">
        <v>15</v>
      </c>
    </row>
    <row r="6" spans="1:5" ht="16.05" customHeight="1" x14ac:dyDescent="0.3">
      <c r="A6" s="2" t="s">
        <v>14</v>
      </c>
      <c r="B6" s="2" t="s">
        <v>15</v>
      </c>
      <c r="C6" s="6" t="s">
        <v>96</v>
      </c>
      <c r="D6" s="3">
        <v>25</v>
      </c>
      <c r="E6" s="2">
        <v>15</v>
      </c>
    </row>
    <row r="7" spans="1:5" ht="16.05" customHeight="1" x14ac:dyDescent="0.3">
      <c r="A7" s="2" t="s">
        <v>17</v>
      </c>
      <c r="B7" s="2" t="s">
        <v>18</v>
      </c>
      <c r="C7" s="6" t="s">
        <v>97</v>
      </c>
      <c r="D7" s="3">
        <v>25</v>
      </c>
      <c r="E7" s="2">
        <v>15</v>
      </c>
    </row>
    <row r="8" spans="1:5" ht="16.05" customHeight="1" x14ac:dyDescent="0.3">
      <c r="A8" s="2" t="s">
        <v>20</v>
      </c>
      <c r="B8" s="2" t="s">
        <v>21</v>
      </c>
      <c r="C8" s="6" t="s">
        <v>98</v>
      </c>
      <c r="D8" s="3">
        <v>25</v>
      </c>
      <c r="E8" s="2">
        <v>15</v>
      </c>
    </row>
    <row r="9" spans="1:5" ht="16.05" customHeight="1" x14ac:dyDescent="0.3">
      <c r="A9" s="2" t="s">
        <v>23</v>
      </c>
      <c r="B9" s="2" t="s">
        <v>24</v>
      </c>
      <c r="C9" s="6" t="s">
        <v>99</v>
      </c>
      <c r="D9" s="3">
        <v>33</v>
      </c>
      <c r="E9" s="2">
        <v>15</v>
      </c>
    </row>
    <row r="10" spans="1:5" ht="16.05" customHeight="1" x14ac:dyDescent="0.3">
      <c r="A10" s="7" t="s">
        <v>26</v>
      </c>
      <c r="B10" s="7" t="s">
        <v>27</v>
      </c>
      <c r="C10" s="8"/>
      <c r="D10" s="9"/>
      <c r="E10" s="7"/>
    </row>
    <row r="11" spans="1:5" ht="16.05" customHeight="1" x14ac:dyDescent="0.3">
      <c r="A11" s="7" t="s">
        <v>28</v>
      </c>
      <c r="B11" s="7" t="s">
        <v>29</v>
      </c>
      <c r="C11" s="8"/>
      <c r="D11" s="9"/>
      <c r="E11" s="7"/>
    </row>
    <row r="12" spans="1:5" ht="16.05" customHeight="1" x14ac:dyDescent="0.3">
      <c r="A12" s="2" t="s">
        <v>11</v>
      </c>
      <c r="B12" s="2" t="s">
        <v>30</v>
      </c>
      <c r="C12" s="6" t="s">
        <v>100</v>
      </c>
      <c r="D12" s="3">
        <v>33</v>
      </c>
      <c r="E12" s="2">
        <v>15</v>
      </c>
    </row>
    <row r="13" spans="1:5" ht="16.05" customHeight="1" x14ac:dyDescent="0.3">
      <c r="A13" s="2" t="s">
        <v>14</v>
      </c>
      <c r="B13" s="2" t="s">
        <v>32</v>
      </c>
      <c r="C13" s="6" t="s">
        <v>101</v>
      </c>
      <c r="D13" s="3">
        <v>34</v>
      </c>
      <c r="E13" s="2">
        <v>15</v>
      </c>
    </row>
    <row r="14" spans="1:5" ht="16.05" customHeight="1" x14ac:dyDescent="0.3">
      <c r="A14" s="2" t="s">
        <v>17</v>
      </c>
      <c r="B14" s="2" t="s">
        <v>34</v>
      </c>
      <c r="C14" s="6" t="s">
        <v>102</v>
      </c>
      <c r="D14" s="3">
        <v>35</v>
      </c>
      <c r="E14" s="2">
        <v>15</v>
      </c>
    </row>
    <row r="15" spans="1:5" ht="16.05" customHeight="1" x14ac:dyDescent="0.3">
      <c r="A15" s="2" t="s">
        <v>20</v>
      </c>
      <c r="B15" s="2" t="s">
        <v>36</v>
      </c>
      <c r="C15" s="6" t="s">
        <v>103</v>
      </c>
      <c r="D15" s="3">
        <v>62</v>
      </c>
      <c r="E15" s="2">
        <v>15</v>
      </c>
    </row>
    <row r="16" spans="1:5" ht="16.05" customHeight="1" x14ac:dyDescent="0.3">
      <c r="A16" s="2" t="s">
        <v>23</v>
      </c>
      <c r="B16" s="2" t="s">
        <v>38</v>
      </c>
      <c r="C16" s="6" t="s">
        <v>104</v>
      </c>
      <c r="D16" s="3">
        <v>65</v>
      </c>
      <c r="E16" s="2">
        <v>15</v>
      </c>
    </row>
    <row r="17" spans="1:5" ht="16.05" customHeight="1" x14ac:dyDescent="0.3">
      <c r="A17" s="7" t="s">
        <v>26</v>
      </c>
      <c r="B17" s="7" t="s">
        <v>40</v>
      </c>
      <c r="C17" s="8"/>
      <c r="D17" s="9"/>
      <c r="E17" s="7"/>
    </row>
    <row r="18" spans="1:5" ht="16.05" customHeight="1" x14ac:dyDescent="0.3">
      <c r="A18" s="7" t="s">
        <v>28</v>
      </c>
      <c r="B18" s="7" t="s">
        <v>41</v>
      </c>
      <c r="C18" s="8"/>
      <c r="D18" s="9"/>
      <c r="E18" s="7"/>
    </row>
    <row r="19" spans="1:5" ht="16.05" customHeight="1" x14ac:dyDescent="0.3">
      <c r="A19" s="2" t="s">
        <v>11</v>
      </c>
      <c r="B19" s="2" t="s">
        <v>42</v>
      </c>
      <c r="C19" s="6" t="s">
        <v>105</v>
      </c>
      <c r="D19" s="3">
        <v>65</v>
      </c>
      <c r="E19" s="2">
        <v>15</v>
      </c>
    </row>
    <row r="20" spans="1:5" ht="16.05" customHeight="1" x14ac:dyDescent="0.3">
      <c r="A20" s="2" t="s">
        <v>14</v>
      </c>
      <c r="B20" s="2" t="s">
        <v>44</v>
      </c>
      <c r="C20" s="6" t="s">
        <v>106</v>
      </c>
      <c r="D20" s="3">
        <v>67</v>
      </c>
      <c r="E20" s="2">
        <v>15</v>
      </c>
    </row>
    <row r="21" spans="1:5" ht="16.05" customHeight="1" x14ac:dyDescent="0.3">
      <c r="A21" s="2" t="s">
        <v>17</v>
      </c>
      <c r="B21" s="2" t="s">
        <v>46</v>
      </c>
      <c r="C21" s="6" t="s">
        <v>107</v>
      </c>
      <c r="D21" s="3">
        <v>75</v>
      </c>
      <c r="E21" s="2">
        <v>15</v>
      </c>
    </row>
    <row r="22" spans="1:5" ht="16.05" customHeight="1" x14ac:dyDescent="0.3">
      <c r="A22" s="2" t="s">
        <v>20</v>
      </c>
      <c r="B22" s="2" t="s">
        <v>48</v>
      </c>
      <c r="C22" s="6" t="s">
        <v>108</v>
      </c>
      <c r="D22" s="3">
        <v>75</v>
      </c>
      <c r="E22" s="2">
        <v>15</v>
      </c>
    </row>
    <row r="23" spans="1:5" ht="16.05" customHeight="1" x14ac:dyDescent="0.3">
      <c r="A23" s="2" t="s">
        <v>23</v>
      </c>
      <c r="B23" s="2" t="s">
        <v>50</v>
      </c>
      <c r="C23" s="6" t="s">
        <v>109</v>
      </c>
      <c r="D23" s="3">
        <v>92</v>
      </c>
      <c r="E23" s="2">
        <v>15</v>
      </c>
    </row>
    <row r="24" spans="1:5" ht="16.05" customHeight="1" x14ac:dyDescent="0.3">
      <c r="A24" s="7" t="s">
        <v>26</v>
      </c>
      <c r="B24" s="7" t="s">
        <v>52</v>
      </c>
      <c r="C24" s="8"/>
      <c r="D24" s="9"/>
      <c r="E24" s="7"/>
    </row>
    <row r="25" spans="1:5" ht="16.05" customHeight="1" x14ac:dyDescent="0.3">
      <c r="A25" s="7" t="s">
        <v>28</v>
      </c>
      <c r="B25" s="7" t="s">
        <v>53</v>
      </c>
      <c r="C25" s="8"/>
      <c r="D25" s="9"/>
      <c r="E25" s="7"/>
    </row>
    <row r="26" spans="1:5" ht="16.05" customHeight="1" x14ac:dyDescent="0.3">
      <c r="A26" s="2" t="s">
        <v>11</v>
      </c>
      <c r="B26" s="2" t="s">
        <v>54</v>
      </c>
      <c r="C26" s="6" t="s">
        <v>110</v>
      </c>
      <c r="D26" s="3">
        <v>112</v>
      </c>
      <c r="E26" s="2">
        <v>15</v>
      </c>
    </row>
    <row r="27" spans="1:5" ht="16.05" customHeight="1" x14ac:dyDescent="0.3">
      <c r="A27" s="2" t="s">
        <v>14</v>
      </c>
      <c r="B27" s="2" t="s">
        <v>56</v>
      </c>
      <c r="C27" s="6" t="s">
        <v>111</v>
      </c>
      <c r="D27" s="3">
        <v>150</v>
      </c>
      <c r="E27" s="2">
        <v>15</v>
      </c>
    </row>
    <row r="28" spans="1:5" ht="16.05" customHeight="1" x14ac:dyDescent="0.3">
      <c r="A28" s="2" t="s">
        <v>17</v>
      </c>
      <c r="B28" s="2" t="s">
        <v>58</v>
      </c>
      <c r="C28" s="6" t="s">
        <v>112</v>
      </c>
      <c r="D28" s="3">
        <v>188</v>
      </c>
      <c r="E28" s="2">
        <v>15</v>
      </c>
    </row>
    <row r="29" spans="1:5" ht="16.05" customHeight="1" x14ac:dyDescent="0.3">
      <c r="A29" s="2" t="s">
        <v>20</v>
      </c>
      <c r="B29" s="2" t="s">
        <v>60</v>
      </c>
      <c r="C29" s="6" t="s">
        <v>113</v>
      </c>
      <c r="D29" s="3">
        <v>190</v>
      </c>
      <c r="E29" s="2">
        <v>15</v>
      </c>
    </row>
    <row r="30" spans="1:5" ht="16.05" customHeight="1" x14ac:dyDescent="0.3">
      <c r="A30" s="2" t="s">
        <v>23</v>
      </c>
      <c r="B30" s="2" t="s">
        <v>62</v>
      </c>
      <c r="C30" s="6" t="s">
        <v>114</v>
      </c>
      <c r="D30" s="3">
        <v>244</v>
      </c>
      <c r="E30" s="2">
        <v>15</v>
      </c>
    </row>
    <row r="31" spans="1:5" ht="16.05" customHeight="1" x14ac:dyDescent="0.3">
      <c r="A31" s="7" t="s">
        <v>26</v>
      </c>
      <c r="B31" s="7" t="s">
        <v>64</v>
      </c>
      <c r="C31" s="8"/>
      <c r="D31" s="9"/>
      <c r="E31" s="7"/>
    </row>
    <row r="32" spans="1:5" ht="16.05" customHeight="1" x14ac:dyDescent="0.3">
      <c r="A32" s="7" t="s">
        <v>28</v>
      </c>
      <c r="B32" s="7" t="s">
        <v>65</v>
      </c>
      <c r="C32" s="8"/>
      <c r="D32" s="9"/>
      <c r="E32" s="7"/>
    </row>
    <row r="33" spans="1:5" ht="16.05" customHeight="1" x14ac:dyDescent="0.3">
      <c r="A33" s="2" t="s">
        <v>11</v>
      </c>
      <c r="B33" s="2" t="s">
        <v>66</v>
      </c>
      <c r="C33" s="6" t="s">
        <v>115</v>
      </c>
      <c r="D33" s="3">
        <v>282</v>
      </c>
      <c r="E33" s="2">
        <v>15</v>
      </c>
    </row>
    <row r="34" spans="1:5" ht="16.05" customHeight="1" x14ac:dyDescent="0.3">
      <c r="A34" s="2" t="s">
        <v>14</v>
      </c>
      <c r="B34" s="2" t="s">
        <v>68</v>
      </c>
      <c r="C34" s="6" t="s">
        <v>116</v>
      </c>
      <c r="D34" s="3">
        <v>286</v>
      </c>
      <c r="E34" s="2">
        <v>15</v>
      </c>
    </row>
    <row r="35" spans="1:5" ht="18" customHeight="1" x14ac:dyDescent="0.3">
      <c r="A35" s="10" t="s">
        <v>70</v>
      </c>
      <c r="B35" s="11"/>
      <c r="C35" s="11"/>
      <c r="D35" s="12">
        <f>SUM(D5:D34)</f>
        <v>2188</v>
      </c>
      <c r="E35" s="12">
        <f>SUM(E5:E34)</f>
        <v>330</v>
      </c>
    </row>
    <row r="36" spans="1:5" ht="18" customHeight="1" x14ac:dyDescent="0.3">
      <c r="A36" s="13" t="s">
        <v>5</v>
      </c>
      <c r="B36" s="14"/>
      <c r="C36" s="14"/>
      <c r="D36" s="15">
        <f>D2-D35</f>
        <v>-198</v>
      </c>
      <c r="E36" s="14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Carlos Acevedo</vt:lpstr>
      <vt:lpstr>Samuel Inostroza</vt:lpstr>
      <vt:lpstr>Cristian Lizama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Valery Chaparro Navarro</cp:lastModifiedBy>
  <dcterms:created xsi:type="dcterms:W3CDTF">2026-05-29T17:06:14Z</dcterms:created>
  <dcterms:modified xsi:type="dcterms:W3CDTF">2026-05-29T17:22:17Z</dcterms:modified>
</cp:coreProperties>
</file>